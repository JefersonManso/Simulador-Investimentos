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C2A659ADCF281A08/Documentos/"/>
    </mc:Choice>
  </mc:AlternateContent>
  <xr:revisionPtr revIDLastSave="0" documentId="8_{E9659901-C537-41EA-A6CA-FEBAC41AF11B}" xr6:coauthVersionLast="47" xr6:coauthVersionMax="47" xr10:uidLastSave="{00000000-0000-0000-0000-000000000000}"/>
  <bookViews>
    <workbookView xWindow="-108" yWindow="-108" windowWidth="23256" windowHeight="12456" xr2:uid="{BAA763BA-F2D8-4284-8EEC-2713CC5D8D53}"/>
  </bookViews>
  <sheets>
    <sheet name="Simulador" sheetId="1" r:id="rId1"/>
    <sheet name="Proje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F4" i="2" s="1"/>
  <c r="B7" i="1"/>
  <c r="C42" i="1"/>
  <c r="B42" i="1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A484" i="2"/>
  <c r="C484" i="2" s="1"/>
  <c r="A483" i="2"/>
  <c r="C483" i="2" s="1"/>
  <c r="A482" i="2"/>
  <c r="C482" i="2" s="1"/>
  <c r="A481" i="2"/>
  <c r="C481" i="2" s="1"/>
  <c r="A480" i="2"/>
  <c r="C480" i="2" s="1"/>
  <c r="A479" i="2"/>
  <c r="C479" i="2" s="1"/>
  <c r="A478" i="2"/>
  <c r="C478" i="2" s="1"/>
  <c r="A477" i="2"/>
  <c r="C477" i="2" s="1"/>
  <c r="A476" i="2"/>
  <c r="C476" i="2" s="1"/>
  <c r="A475" i="2"/>
  <c r="C475" i="2" s="1"/>
  <c r="A474" i="2"/>
  <c r="C474" i="2" s="1"/>
  <c r="A473" i="2"/>
  <c r="C473" i="2" s="1"/>
  <c r="A472" i="2"/>
  <c r="C472" i="2" s="1"/>
  <c r="A471" i="2"/>
  <c r="C471" i="2" s="1"/>
  <c r="A470" i="2"/>
  <c r="C470" i="2" s="1"/>
  <c r="A469" i="2"/>
  <c r="C469" i="2" s="1"/>
  <c r="A468" i="2"/>
  <c r="C468" i="2" s="1"/>
  <c r="A467" i="2"/>
  <c r="C467" i="2" s="1"/>
  <c r="A466" i="2"/>
  <c r="C466" i="2" s="1"/>
  <c r="A465" i="2"/>
  <c r="C465" i="2" s="1"/>
  <c r="A464" i="2"/>
  <c r="C464" i="2" s="1"/>
  <c r="A463" i="2"/>
  <c r="C463" i="2" s="1"/>
  <c r="A462" i="2"/>
  <c r="C462" i="2" s="1"/>
  <c r="A461" i="2"/>
  <c r="C461" i="2" s="1"/>
  <c r="A460" i="2"/>
  <c r="C460" i="2" s="1"/>
  <c r="A459" i="2"/>
  <c r="C459" i="2" s="1"/>
  <c r="A458" i="2"/>
  <c r="C458" i="2" s="1"/>
  <c r="A457" i="2"/>
  <c r="C457" i="2" s="1"/>
  <c r="A456" i="2"/>
  <c r="C456" i="2" s="1"/>
  <c r="A455" i="2"/>
  <c r="C455" i="2" s="1"/>
  <c r="A454" i="2"/>
  <c r="C454" i="2" s="1"/>
  <c r="A453" i="2"/>
  <c r="C453" i="2" s="1"/>
  <c r="A452" i="2"/>
  <c r="C452" i="2" s="1"/>
  <c r="A451" i="2"/>
  <c r="C451" i="2" s="1"/>
  <c r="A450" i="2"/>
  <c r="C450" i="2" s="1"/>
  <c r="A449" i="2"/>
  <c r="C449" i="2" s="1"/>
  <c r="A448" i="2"/>
  <c r="C448" i="2" s="1"/>
  <c r="A447" i="2"/>
  <c r="C447" i="2" s="1"/>
  <c r="A446" i="2"/>
  <c r="C446" i="2" s="1"/>
  <c r="A445" i="2"/>
  <c r="C445" i="2" s="1"/>
  <c r="A444" i="2"/>
  <c r="C444" i="2" s="1"/>
  <c r="A443" i="2"/>
  <c r="C443" i="2" s="1"/>
  <c r="A442" i="2"/>
  <c r="C442" i="2" s="1"/>
  <c r="A441" i="2"/>
  <c r="C441" i="2" s="1"/>
  <c r="A440" i="2"/>
  <c r="C440" i="2" s="1"/>
  <c r="A439" i="2"/>
  <c r="C439" i="2" s="1"/>
  <c r="A438" i="2"/>
  <c r="C438" i="2" s="1"/>
  <c r="A437" i="2"/>
  <c r="C437" i="2" s="1"/>
  <c r="A436" i="2"/>
  <c r="C436" i="2" s="1"/>
  <c r="A435" i="2"/>
  <c r="C435" i="2" s="1"/>
  <c r="A434" i="2"/>
  <c r="C434" i="2" s="1"/>
  <c r="A433" i="2"/>
  <c r="C433" i="2" s="1"/>
  <c r="A432" i="2"/>
  <c r="C432" i="2" s="1"/>
  <c r="A431" i="2"/>
  <c r="C431" i="2" s="1"/>
  <c r="A430" i="2"/>
  <c r="C430" i="2" s="1"/>
  <c r="A429" i="2"/>
  <c r="C429" i="2" s="1"/>
  <c r="A428" i="2"/>
  <c r="C428" i="2" s="1"/>
  <c r="A427" i="2"/>
  <c r="C427" i="2" s="1"/>
  <c r="A426" i="2"/>
  <c r="C426" i="2" s="1"/>
  <c r="A425" i="2"/>
  <c r="C425" i="2" s="1"/>
  <c r="A424" i="2"/>
  <c r="C424" i="2" s="1"/>
  <c r="A423" i="2"/>
  <c r="C423" i="2" s="1"/>
  <c r="A422" i="2"/>
  <c r="C422" i="2" s="1"/>
  <c r="A421" i="2"/>
  <c r="C421" i="2" s="1"/>
  <c r="A420" i="2"/>
  <c r="C420" i="2" s="1"/>
  <c r="A419" i="2"/>
  <c r="C419" i="2" s="1"/>
  <c r="A418" i="2"/>
  <c r="C418" i="2" s="1"/>
  <c r="A417" i="2"/>
  <c r="C417" i="2" s="1"/>
  <c r="A416" i="2"/>
  <c r="C416" i="2" s="1"/>
  <c r="A415" i="2"/>
  <c r="C415" i="2" s="1"/>
  <c r="A414" i="2"/>
  <c r="C414" i="2" s="1"/>
  <c r="A413" i="2"/>
  <c r="C413" i="2" s="1"/>
  <c r="A412" i="2"/>
  <c r="C412" i="2" s="1"/>
  <c r="A411" i="2"/>
  <c r="C411" i="2" s="1"/>
  <c r="A410" i="2"/>
  <c r="C410" i="2" s="1"/>
  <c r="A409" i="2"/>
  <c r="C409" i="2" s="1"/>
  <c r="A408" i="2"/>
  <c r="C408" i="2" s="1"/>
  <c r="A407" i="2"/>
  <c r="C407" i="2" s="1"/>
  <c r="A406" i="2"/>
  <c r="C406" i="2" s="1"/>
  <c r="A405" i="2"/>
  <c r="C405" i="2" s="1"/>
  <c r="A404" i="2"/>
  <c r="C404" i="2" s="1"/>
  <c r="A403" i="2"/>
  <c r="C403" i="2" s="1"/>
  <c r="A402" i="2"/>
  <c r="C402" i="2" s="1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C370" i="2" s="1"/>
  <c r="A369" i="2"/>
  <c r="C369" i="2" s="1"/>
  <c r="A368" i="2"/>
  <c r="C368" i="2" s="1"/>
  <c r="A367" i="2"/>
  <c r="C367" i="2" s="1"/>
  <c r="A366" i="2"/>
  <c r="C366" i="2" s="1"/>
  <c r="A365" i="2"/>
  <c r="C365" i="2" s="1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C249" i="2" s="1"/>
  <c r="A248" i="2"/>
  <c r="C248" i="2" s="1"/>
  <c r="A247" i="2"/>
  <c r="C247" i="2" s="1"/>
  <c r="A246" i="2"/>
  <c r="C246" i="2" s="1"/>
  <c r="A245" i="2"/>
  <c r="C245" i="2" s="1"/>
  <c r="A244" i="2"/>
  <c r="C244" i="2" s="1"/>
  <c r="A243" i="2"/>
  <c r="C243" i="2" s="1"/>
  <c r="A242" i="2"/>
  <c r="C242" i="2" s="1"/>
  <c r="A241" i="2"/>
  <c r="C241" i="2" s="1"/>
  <c r="A240" i="2"/>
  <c r="C240" i="2" s="1"/>
  <c r="A239" i="2"/>
  <c r="C239" i="2" s="1"/>
  <c r="A238" i="2"/>
  <c r="C238" i="2" s="1"/>
  <c r="A237" i="2"/>
  <c r="C237" i="2" s="1"/>
  <c r="A236" i="2"/>
  <c r="C236" i="2" s="1"/>
  <c r="A235" i="2"/>
  <c r="C235" i="2" s="1"/>
  <c r="A234" i="2"/>
  <c r="C234" i="2" s="1"/>
  <c r="A233" i="2"/>
  <c r="C233" i="2" s="1"/>
  <c r="A232" i="2"/>
  <c r="C232" i="2" s="1"/>
  <c r="A231" i="2"/>
  <c r="C231" i="2" s="1"/>
  <c r="A230" i="2"/>
  <c r="C230" i="2" s="1"/>
  <c r="A229" i="2"/>
  <c r="C229" i="2" s="1"/>
  <c r="A228" i="2"/>
  <c r="C228" i="2" s="1"/>
  <c r="A227" i="2"/>
  <c r="C227" i="2" s="1"/>
  <c r="A226" i="2"/>
  <c r="C226" i="2" s="1"/>
  <c r="A225" i="2"/>
  <c r="C225" i="2" s="1"/>
  <c r="A224" i="2"/>
  <c r="C224" i="2" s="1"/>
  <c r="A223" i="2"/>
  <c r="C223" i="2" s="1"/>
  <c r="A222" i="2"/>
  <c r="C222" i="2" s="1"/>
  <c r="A221" i="2"/>
  <c r="C221" i="2" s="1"/>
  <c r="A220" i="2"/>
  <c r="C220" i="2" s="1"/>
  <c r="A219" i="2"/>
  <c r="C219" i="2" s="1"/>
  <c r="A218" i="2"/>
  <c r="C218" i="2" s="1"/>
  <c r="A217" i="2"/>
  <c r="C217" i="2" s="1"/>
  <c r="A216" i="2"/>
  <c r="C216" i="2" s="1"/>
  <c r="A215" i="2"/>
  <c r="C215" i="2" s="1"/>
  <c r="A214" i="2"/>
  <c r="C214" i="2" s="1"/>
  <c r="A213" i="2"/>
  <c r="C213" i="2" s="1"/>
  <c r="A212" i="2"/>
  <c r="C212" i="2" s="1"/>
  <c r="A211" i="2"/>
  <c r="C211" i="2" s="1"/>
  <c r="A210" i="2"/>
  <c r="C210" i="2" s="1"/>
  <c r="A209" i="2"/>
  <c r="C209" i="2" s="1"/>
  <c r="A208" i="2"/>
  <c r="C208" i="2" s="1"/>
  <c r="A207" i="2"/>
  <c r="C207" i="2" s="1"/>
  <c r="A206" i="2"/>
  <c r="C206" i="2" s="1"/>
  <c r="A205" i="2"/>
  <c r="C205" i="2" s="1"/>
  <c r="A204" i="2"/>
  <c r="C204" i="2" s="1"/>
  <c r="A203" i="2"/>
  <c r="C203" i="2" s="1"/>
  <c r="A202" i="2"/>
  <c r="C202" i="2" s="1"/>
  <c r="A201" i="2"/>
  <c r="C201" i="2" s="1"/>
  <c r="A200" i="2"/>
  <c r="C200" i="2" s="1"/>
  <c r="A199" i="2"/>
  <c r="C199" i="2" s="1"/>
  <c r="A198" i="2"/>
  <c r="C198" i="2" s="1"/>
  <c r="A197" i="2"/>
  <c r="C197" i="2" s="1"/>
  <c r="A196" i="2"/>
  <c r="C196" i="2" s="1"/>
  <c r="A195" i="2"/>
  <c r="C195" i="2" s="1"/>
  <c r="A194" i="2"/>
  <c r="C194" i="2" s="1"/>
  <c r="A193" i="2"/>
  <c r="C193" i="2" s="1"/>
  <c r="A192" i="2"/>
  <c r="C192" i="2" s="1"/>
  <c r="A191" i="2"/>
  <c r="C191" i="2" s="1"/>
  <c r="A190" i="2"/>
  <c r="C190" i="2" s="1"/>
  <c r="A189" i="2"/>
  <c r="C189" i="2" s="1"/>
  <c r="A188" i="2"/>
  <c r="C188" i="2" s="1"/>
  <c r="A187" i="2"/>
  <c r="C187" i="2" s="1"/>
  <c r="A186" i="2"/>
  <c r="C186" i="2" s="1"/>
  <c r="A185" i="2"/>
  <c r="C185" i="2" s="1"/>
  <c r="A184" i="2"/>
  <c r="C184" i="2" s="1"/>
  <c r="A183" i="2"/>
  <c r="C183" i="2" s="1"/>
  <c r="A182" i="2"/>
  <c r="C182" i="2" s="1"/>
  <c r="A181" i="2"/>
  <c r="C181" i="2" s="1"/>
  <c r="A180" i="2"/>
  <c r="C180" i="2" s="1"/>
  <c r="A179" i="2"/>
  <c r="C179" i="2" s="1"/>
  <c r="A178" i="2"/>
  <c r="C178" i="2" s="1"/>
  <c r="A177" i="2"/>
  <c r="C177" i="2" s="1"/>
  <c r="A176" i="2"/>
  <c r="C176" i="2" s="1"/>
  <c r="A175" i="2"/>
  <c r="C175" i="2" s="1"/>
  <c r="A174" i="2"/>
  <c r="C174" i="2" s="1"/>
  <c r="A173" i="2"/>
  <c r="C173" i="2" s="1"/>
  <c r="A172" i="2"/>
  <c r="C172" i="2" s="1"/>
  <c r="A171" i="2"/>
  <c r="C171" i="2" s="1"/>
  <c r="A170" i="2"/>
  <c r="C170" i="2" s="1"/>
  <c r="A169" i="2"/>
  <c r="C169" i="2" s="1"/>
  <c r="A168" i="2"/>
  <c r="C168" i="2" s="1"/>
  <c r="A167" i="2"/>
  <c r="C167" i="2" s="1"/>
  <c r="A166" i="2"/>
  <c r="C166" i="2" s="1"/>
  <c r="A165" i="2"/>
  <c r="C165" i="2" s="1"/>
  <c r="A164" i="2"/>
  <c r="C164" i="2" s="1"/>
  <c r="A163" i="2"/>
  <c r="C163" i="2" s="1"/>
  <c r="A162" i="2"/>
  <c r="C162" i="2" s="1"/>
  <c r="A161" i="2"/>
  <c r="C161" i="2" s="1"/>
  <c r="A160" i="2"/>
  <c r="C160" i="2" s="1"/>
  <c r="A159" i="2"/>
  <c r="C159" i="2" s="1"/>
  <c r="A158" i="2"/>
  <c r="C158" i="2" s="1"/>
  <c r="A157" i="2"/>
  <c r="C157" i="2" s="1"/>
  <c r="A156" i="2"/>
  <c r="C156" i="2" s="1"/>
  <c r="A155" i="2"/>
  <c r="C155" i="2" s="1"/>
  <c r="A154" i="2"/>
  <c r="C154" i="2" s="1"/>
  <c r="A153" i="2"/>
  <c r="C153" i="2" s="1"/>
  <c r="A152" i="2"/>
  <c r="C152" i="2" s="1"/>
  <c r="A151" i="2"/>
  <c r="C151" i="2" s="1"/>
  <c r="A150" i="2"/>
  <c r="C150" i="2" s="1"/>
  <c r="A149" i="2"/>
  <c r="C149" i="2" s="1"/>
  <c r="A148" i="2"/>
  <c r="C148" i="2" s="1"/>
  <c r="A147" i="2"/>
  <c r="C147" i="2" s="1"/>
  <c r="A146" i="2"/>
  <c r="C146" i="2" s="1"/>
  <c r="A145" i="2"/>
  <c r="C145" i="2" s="1"/>
  <c r="A144" i="2"/>
  <c r="C144" i="2" s="1"/>
  <c r="A143" i="2"/>
  <c r="C143" i="2" s="1"/>
  <c r="A142" i="2"/>
  <c r="C142" i="2" s="1"/>
  <c r="A141" i="2"/>
  <c r="C141" i="2" s="1"/>
  <c r="A140" i="2"/>
  <c r="C140" i="2" s="1"/>
  <c r="A139" i="2"/>
  <c r="C139" i="2" s="1"/>
  <c r="A138" i="2"/>
  <c r="C138" i="2" s="1"/>
  <c r="A137" i="2"/>
  <c r="C137" i="2" s="1"/>
  <c r="A136" i="2"/>
  <c r="C136" i="2" s="1"/>
  <c r="A135" i="2"/>
  <c r="C135" i="2" s="1"/>
  <c r="A134" i="2"/>
  <c r="C134" i="2" s="1"/>
  <c r="A133" i="2"/>
  <c r="C133" i="2" s="1"/>
  <c r="A132" i="2"/>
  <c r="C132" i="2" s="1"/>
  <c r="A131" i="2"/>
  <c r="C131" i="2" s="1"/>
  <c r="A130" i="2"/>
  <c r="C130" i="2" s="1"/>
  <c r="A129" i="2"/>
  <c r="C129" i="2" s="1"/>
  <c r="A128" i="2"/>
  <c r="C128" i="2" s="1"/>
  <c r="A127" i="2"/>
  <c r="C127" i="2" s="1"/>
  <c r="A126" i="2"/>
  <c r="C126" i="2" s="1"/>
  <c r="A125" i="2"/>
  <c r="C125" i="2" s="1"/>
  <c r="A124" i="2"/>
  <c r="C124" i="2" s="1"/>
  <c r="A123" i="2"/>
  <c r="C123" i="2" s="1"/>
  <c r="A122" i="2"/>
  <c r="C122" i="2" s="1"/>
  <c r="A121" i="2"/>
  <c r="C121" i="2" s="1"/>
  <c r="A120" i="2"/>
  <c r="C120" i="2" s="1"/>
  <c r="A119" i="2"/>
  <c r="C119" i="2" s="1"/>
  <c r="A118" i="2"/>
  <c r="C118" i="2" s="1"/>
  <c r="A117" i="2"/>
  <c r="C117" i="2" s="1"/>
  <c r="A116" i="2"/>
  <c r="C116" i="2" s="1"/>
  <c r="A115" i="2"/>
  <c r="C115" i="2" s="1"/>
  <c r="A114" i="2"/>
  <c r="C114" i="2" s="1"/>
  <c r="A113" i="2"/>
  <c r="C113" i="2" s="1"/>
  <c r="A112" i="2"/>
  <c r="C112" i="2" s="1"/>
  <c r="A111" i="2"/>
  <c r="C111" i="2" s="1"/>
  <c r="A110" i="2"/>
  <c r="C110" i="2" s="1"/>
  <c r="A109" i="2"/>
  <c r="C109" i="2" s="1"/>
  <c r="A108" i="2"/>
  <c r="C108" i="2" s="1"/>
  <c r="A107" i="2"/>
  <c r="C107" i="2" s="1"/>
  <c r="A106" i="2"/>
  <c r="C106" i="2" s="1"/>
  <c r="A105" i="2"/>
  <c r="C105" i="2" s="1"/>
  <c r="A104" i="2"/>
  <c r="C104" i="2" s="1"/>
  <c r="A103" i="2"/>
  <c r="C103" i="2" s="1"/>
  <c r="A102" i="2"/>
  <c r="C102" i="2" s="1"/>
  <c r="A101" i="2"/>
  <c r="C101" i="2" s="1"/>
  <c r="A100" i="2"/>
  <c r="C100" i="2" s="1"/>
  <c r="A99" i="2"/>
  <c r="C99" i="2" s="1"/>
  <c r="A98" i="2"/>
  <c r="C98" i="2" s="1"/>
  <c r="A97" i="2"/>
  <c r="C97" i="2" s="1"/>
  <c r="A96" i="2"/>
  <c r="C96" i="2" s="1"/>
  <c r="A95" i="2"/>
  <c r="C95" i="2" s="1"/>
  <c r="A94" i="2"/>
  <c r="C94" i="2" s="1"/>
  <c r="A93" i="2"/>
  <c r="C93" i="2" s="1"/>
  <c r="A92" i="2"/>
  <c r="C92" i="2" s="1"/>
  <c r="A91" i="2"/>
  <c r="C91" i="2" s="1"/>
  <c r="A90" i="2"/>
  <c r="C90" i="2" s="1"/>
  <c r="A89" i="2"/>
  <c r="C89" i="2" s="1"/>
  <c r="A88" i="2"/>
  <c r="C88" i="2" s="1"/>
  <c r="A87" i="2"/>
  <c r="C87" i="2" s="1"/>
  <c r="A86" i="2"/>
  <c r="C86" i="2" s="1"/>
  <c r="A85" i="2"/>
  <c r="C85" i="2" s="1"/>
  <c r="A84" i="2"/>
  <c r="C84" i="2" s="1"/>
  <c r="A83" i="2"/>
  <c r="C83" i="2" s="1"/>
  <c r="A82" i="2"/>
  <c r="C82" i="2" s="1"/>
  <c r="A81" i="2"/>
  <c r="C81" i="2" s="1"/>
  <c r="A80" i="2"/>
  <c r="C80" i="2" s="1"/>
  <c r="A79" i="2"/>
  <c r="C79" i="2" s="1"/>
  <c r="A78" i="2"/>
  <c r="C78" i="2" s="1"/>
  <c r="A77" i="2"/>
  <c r="C77" i="2" s="1"/>
  <c r="A76" i="2"/>
  <c r="C76" i="2" s="1"/>
  <c r="A75" i="2"/>
  <c r="C75" i="2" s="1"/>
  <c r="A74" i="2"/>
  <c r="C74" i="2" s="1"/>
  <c r="A73" i="2"/>
  <c r="C73" i="2" s="1"/>
  <c r="A72" i="2"/>
  <c r="C72" i="2" s="1"/>
  <c r="A71" i="2"/>
  <c r="C71" i="2" s="1"/>
  <c r="A70" i="2"/>
  <c r="C70" i="2" s="1"/>
  <c r="A69" i="2"/>
  <c r="C69" i="2" s="1"/>
  <c r="A68" i="2"/>
  <c r="C68" i="2" s="1"/>
  <c r="A67" i="2"/>
  <c r="C67" i="2" s="1"/>
  <c r="A66" i="2"/>
  <c r="C66" i="2" s="1"/>
  <c r="A65" i="2"/>
  <c r="C65" i="2" s="1"/>
  <c r="A64" i="2"/>
  <c r="C64" i="2" s="1"/>
  <c r="A63" i="2"/>
  <c r="C63" i="2" s="1"/>
  <c r="A62" i="2"/>
  <c r="C62" i="2" s="1"/>
  <c r="A61" i="2"/>
  <c r="C61" i="2" s="1"/>
  <c r="A60" i="2"/>
  <c r="C60" i="2" s="1"/>
  <c r="A59" i="2"/>
  <c r="C59" i="2" s="1"/>
  <c r="A58" i="2"/>
  <c r="C58" i="2" s="1"/>
  <c r="A57" i="2"/>
  <c r="C57" i="2" s="1"/>
  <c r="A56" i="2"/>
  <c r="C56" i="2" s="1"/>
  <c r="A55" i="2"/>
  <c r="C55" i="2" s="1"/>
  <c r="A54" i="2"/>
  <c r="C54" i="2" s="1"/>
  <c r="A53" i="2"/>
  <c r="C53" i="2" s="1"/>
  <c r="A52" i="2"/>
  <c r="C52" i="2" s="1"/>
  <c r="A51" i="2"/>
  <c r="C51" i="2" s="1"/>
  <c r="A50" i="2"/>
  <c r="C50" i="2" s="1"/>
  <c r="A49" i="2"/>
  <c r="C49" i="2" s="1"/>
  <c r="A48" i="2"/>
  <c r="C48" i="2" s="1"/>
  <c r="A47" i="2"/>
  <c r="C47" i="2" s="1"/>
  <c r="A46" i="2"/>
  <c r="C46" i="2" s="1"/>
  <c r="A45" i="2"/>
  <c r="C45" i="2" s="1"/>
  <c r="A44" i="2"/>
  <c r="C44" i="2" s="1"/>
  <c r="A43" i="2"/>
  <c r="C43" i="2" s="1"/>
  <c r="A42" i="2"/>
  <c r="C42" i="2" s="1"/>
  <c r="A41" i="2"/>
  <c r="C41" i="2" s="1"/>
  <c r="A40" i="2"/>
  <c r="C40" i="2" s="1"/>
  <c r="A39" i="2"/>
  <c r="C39" i="2" s="1"/>
  <c r="A38" i="2"/>
  <c r="C38" i="2" s="1"/>
  <c r="A37" i="2"/>
  <c r="C37" i="2" s="1"/>
  <c r="A36" i="2"/>
  <c r="C36" i="2" s="1"/>
  <c r="A35" i="2"/>
  <c r="C35" i="2" s="1"/>
  <c r="A34" i="2"/>
  <c r="C34" i="2" s="1"/>
  <c r="A33" i="2"/>
  <c r="C33" i="2" s="1"/>
  <c r="A32" i="2"/>
  <c r="C32" i="2" s="1"/>
  <c r="A31" i="2"/>
  <c r="C31" i="2" s="1"/>
  <c r="A30" i="2"/>
  <c r="C30" i="2" s="1"/>
  <c r="A29" i="2"/>
  <c r="C29" i="2" s="1"/>
  <c r="A28" i="2"/>
  <c r="C28" i="2" s="1"/>
  <c r="A27" i="2"/>
  <c r="C27" i="2" s="1"/>
  <c r="A26" i="2"/>
  <c r="C26" i="2" s="1"/>
  <c r="A25" i="2"/>
  <c r="C25" i="2" s="1"/>
  <c r="A24" i="2"/>
  <c r="C24" i="2" s="1"/>
  <c r="A23" i="2"/>
  <c r="C23" i="2" s="1"/>
  <c r="A22" i="2"/>
  <c r="C22" i="2" s="1"/>
  <c r="A21" i="2"/>
  <c r="C21" i="2" s="1"/>
  <c r="A20" i="2"/>
  <c r="C20" i="2" s="1"/>
  <c r="A19" i="2"/>
  <c r="C19" i="2" s="1"/>
  <c r="A18" i="2"/>
  <c r="C18" i="2" s="1"/>
  <c r="A17" i="2"/>
  <c r="C17" i="2" s="1"/>
  <c r="A16" i="2"/>
  <c r="C16" i="2" s="1"/>
  <c r="A15" i="2"/>
  <c r="C15" i="2" s="1"/>
  <c r="A14" i="2"/>
  <c r="C14" i="2" s="1"/>
  <c r="A13" i="2"/>
  <c r="C13" i="2" s="1"/>
  <c r="A12" i="2"/>
  <c r="C12" i="2" s="1"/>
  <c r="A11" i="2"/>
  <c r="C11" i="2" s="1"/>
  <c r="A10" i="2"/>
  <c r="C10" i="2" s="1"/>
  <c r="A9" i="2"/>
  <c r="C9" i="2" s="1"/>
  <c r="A8" i="2"/>
  <c r="C8" i="2" s="1"/>
  <c r="A7" i="2"/>
  <c r="C7" i="2" s="1"/>
  <c r="A6" i="2"/>
  <c r="C6" i="2" s="1"/>
  <c r="A5" i="2"/>
  <c r="C5" i="2" s="1"/>
  <c r="E4" i="2"/>
  <c r="D4" i="2"/>
  <c r="B4" i="2"/>
  <c r="G12" i="1"/>
  <c r="E5" i="2" l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0" i="2"/>
  <c r="B448" i="2"/>
  <c r="B446" i="2"/>
  <c r="B445" i="2"/>
  <c r="B443" i="2"/>
  <c r="B442" i="2"/>
  <c r="B440" i="2"/>
  <c r="B438" i="2"/>
  <c r="B437" i="2"/>
  <c r="B434" i="2"/>
  <c r="B431" i="2"/>
  <c r="B427" i="2"/>
  <c r="B421" i="2"/>
  <c r="B418" i="2"/>
  <c r="B277" i="2"/>
  <c r="B271" i="2"/>
  <c r="B267" i="2"/>
  <c r="B262" i="2"/>
  <c r="B257" i="2"/>
  <c r="B253" i="2"/>
  <c r="B249" i="2"/>
  <c r="B245" i="2"/>
  <c r="B241" i="2"/>
  <c r="B237" i="2"/>
  <c r="B231" i="2"/>
  <c r="B228" i="2"/>
  <c r="B223" i="2"/>
  <c r="B218" i="2"/>
  <c r="B214" i="2"/>
  <c r="B209" i="2"/>
  <c r="B205" i="2"/>
  <c r="B200" i="2"/>
  <c r="B196" i="2"/>
  <c r="B192" i="2"/>
  <c r="B186" i="2"/>
  <c r="B179" i="2"/>
  <c r="B176" i="2"/>
  <c r="B171" i="2"/>
  <c r="B167" i="2"/>
  <c r="B162" i="2"/>
  <c r="B158" i="2"/>
  <c r="B154" i="2"/>
  <c r="B147" i="2"/>
  <c r="B143" i="2"/>
  <c r="B135" i="2"/>
  <c r="B132" i="2"/>
  <c r="B127" i="2"/>
  <c r="B124" i="2"/>
  <c r="B120" i="2"/>
  <c r="B117" i="2"/>
  <c r="B113" i="2"/>
  <c r="B108" i="2"/>
  <c r="B104" i="2"/>
  <c r="B100" i="2"/>
  <c r="B93" i="2"/>
  <c r="B87" i="2"/>
  <c r="B83" i="2"/>
  <c r="B78" i="2"/>
  <c r="B74" i="2"/>
  <c r="B70" i="2"/>
  <c r="B66" i="2"/>
  <c r="B62" i="2"/>
  <c r="B57" i="2"/>
  <c r="B53" i="2"/>
  <c r="B48" i="2"/>
  <c r="B44" i="2"/>
  <c r="B39" i="2"/>
  <c r="B35" i="2"/>
  <c r="B30" i="2"/>
  <c r="B26" i="2"/>
  <c r="B21" i="2"/>
  <c r="B16" i="2"/>
  <c r="B11" i="2"/>
  <c r="B6" i="2"/>
  <c r="B449" i="2"/>
  <c r="B433" i="2"/>
  <c r="B430" i="2"/>
  <c r="B425" i="2"/>
  <c r="B423" i="2"/>
  <c r="B419" i="2"/>
  <c r="B279" i="2"/>
  <c r="B275" i="2"/>
  <c r="B270" i="2"/>
  <c r="B266" i="2"/>
  <c r="B261" i="2"/>
  <c r="B256" i="2"/>
  <c r="B252" i="2"/>
  <c r="B246" i="2"/>
  <c r="B242" i="2"/>
  <c r="B238" i="2"/>
  <c r="B233" i="2"/>
  <c r="B229" i="2"/>
  <c r="B224" i="2"/>
  <c r="B219" i="2"/>
  <c r="B215" i="2"/>
  <c r="B210" i="2"/>
  <c r="B206" i="2"/>
  <c r="B202" i="2"/>
  <c r="B198" i="2"/>
  <c r="B193" i="2"/>
  <c r="B188" i="2"/>
  <c r="B184" i="2"/>
  <c r="B181" i="2"/>
  <c r="B173" i="2"/>
  <c r="B168" i="2"/>
  <c r="B164" i="2"/>
  <c r="B157" i="2"/>
  <c r="B152" i="2"/>
  <c r="B148" i="2"/>
  <c r="B142" i="2"/>
  <c r="B137" i="2"/>
  <c r="B134" i="2"/>
  <c r="B130" i="2"/>
  <c r="B125" i="2"/>
  <c r="B121" i="2"/>
  <c r="B119" i="2"/>
  <c r="B115" i="2"/>
  <c r="B111" i="2"/>
  <c r="B106" i="2"/>
  <c r="B99" i="2"/>
  <c r="B95" i="2"/>
  <c r="B89" i="2"/>
  <c r="B82" i="2"/>
  <c r="B77" i="2"/>
  <c r="B73" i="2"/>
  <c r="B68" i="2"/>
  <c r="B61" i="2"/>
  <c r="B56" i="2"/>
  <c r="B52" i="2"/>
  <c r="B47" i="2"/>
  <c r="B42" i="2"/>
  <c r="B38" i="2"/>
  <c r="B34" i="2"/>
  <c r="B28" i="2"/>
  <c r="B23" i="2"/>
  <c r="B19" i="2"/>
  <c r="B15" i="2"/>
  <c r="B12" i="2"/>
  <c r="B7" i="2"/>
  <c r="B451" i="2"/>
  <c r="B435" i="2"/>
  <c r="B429" i="2"/>
  <c r="B426" i="2"/>
  <c r="B424" i="2"/>
  <c r="B420" i="2"/>
  <c r="B280" i="2"/>
  <c r="B274" i="2"/>
  <c r="B269" i="2"/>
  <c r="B264" i="2"/>
  <c r="B260" i="2"/>
  <c r="B255" i="2"/>
  <c r="B251" i="2"/>
  <c r="B247" i="2"/>
  <c r="B239" i="2"/>
  <c r="B235" i="2"/>
  <c r="B230" i="2"/>
  <c r="B226" i="2"/>
  <c r="B222" i="2"/>
  <c r="B217" i="2"/>
  <c r="B212" i="2"/>
  <c r="B208" i="2"/>
  <c r="B204" i="2"/>
  <c r="B199" i="2"/>
  <c r="B194" i="2"/>
  <c r="B190" i="2"/>
  <c r="B183" i="2"/>
  <c r="B178" i="2"/>
  <c r="B174" i="2"/>
  <c r="B170" i="2"/>
  <c r="B163" i="2"/>
  <c r="B159" i="2"/>
  <c r="B155" i="2"/>
  <c r="B150" i="2"/>
  <c r="B146" i="2"/>
  <c r="B141" i="2"/>
  <c r="B138" i="2"/>
  <c r="B131" i="2"/>
  <c r="B126" i="2"/>
  <c r="B122" i="2"/>
  <c r="B118" i="2"/>
  <c r="B114" i="2"/>
  <c r="B109" i="2"/>
  <c r="B105" i="2"/>
  <c r="B101" i="2"/>
  <c r="B97" i="2"/>
  <c r="B92" i="2"/>
  <c r="B88" i="2"/>
  <c r="B84" i="2"/>
  <c r="B80" i="2"/>
  <c r="B75" i="2"/>
  <c r="B72" i="2"/>
  <c r="B67" i="2"/>
  <c r="B63" i="2"/>
  <c r="B58" i="2"/>
  <c r="B54" i="2"/>
  <c r="B49" i="2"/>
  <c r="B45" i="2"/>
  <c r="B40" i="2"/>
  <c r="B36" i="2"/>
  <c r="B32" i="2"/>
  <c r="B27" i="2"/>
  <c r="B22" i="2"/>
  <c r="B18" i="2"/>
  <c r="B14" i="2"/>
  <c r="B10" i="2"/>
  <c r="B468" i="2"/>
  <c r="B447" i="2"/>
  <c r="B444" i="2"/>
  <c r="B441" i="2"/>
  <c r="B439" i="2"/>
  <c r="B436" i="2"/>
  <c r="B432" i="2"/>
  <c r="B428" i="2"/>
  <c r="B422" i="2"/>
  <c r="B278" i="2"/>
  <c r="B273" i="2"/>
  <c r="B265" i="2"/>
  <c r="B258" i="2"/>
  <c r="B250" i="2"/>
  <c r="B243" i="2"/>
  <c r="B234" i="2"/>
  <c r="B227" i="2"/>
  <c r="B220" i="2"/>
  <c r="B213" i="2"/>
  <c r="B201" i="2"/>
  <c r="B195" i="2"/>
  <c r="B189" i="2"/>
  <c r="B182" i="2"/>
  <c r="B177" i="2"/>
  <c r="B172" i="2"/>
  <c r="B166" i="2"/>
  <c r="B160" i="2"/>
  <c r="B151" i="2"/>
  <c r="B145" i="2"/>
  <c r="B139" i="2"/>
  <c r="B129" i="2"/>
  <c r="B123" i="2"/>
  <c r="B116" i="2"/>
  <c r="B110" i="2"/>
  <c r="B102" i="2"/>
  <c r="B96" i="2"/>
  <c r="B91" i="2"/>
  <c r="B85" i="2"/>
  <c r="B79" i="2"/>
  <c r="B71" i="2"/>
  <c r="B65" i="2"/>
  <c r="B59" i="2"/>
  <c r="B51" i="2"/>
  <c r="B43" i="2"/>
  <c r="B31" i="2"/>
  <c r="B24" i="2"/>
  <c r="B17" i="2"/>
  <c r="B9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76" i="2"/>
  <c r="B272" i="2"/>
  <c r="B268" i="2"/>
  <c r="B263" i="2"/>
  <c r="B259" i="2"/>
  <c r="B254" i="2"/>
  <c r="B248" i="2"/>
  <c r="B244" i="2"/>
  <c r="B240" i="2"/>
  <c r="B236" i="2"/>
  <c r="B232" i="2"/>
  <c r="B225" i="2"/>
  <c r="B221" i="2"/>
  <c r="B216" i="2"/>
  <c r="B211" i="2"/>
  <c r="B207" i="2"/>
  <c r="B203" i="2"/>
  <c r="B197" i="2"/>
  <c r="B191" i="2"/>
  <c r="B187" i="2"/>
  <c r="B185" i="2"/>
  <c r="B180" i="2"/>
  <c r="B175" i="2"/>
  <c r="B169" i="2"/>
  <c r="B165" i="2"/>
  <c r="B161" i="2"/>
  <c r="B156" i="2"/>
  <c r="B153" i="2"/>
  <c r="B149" i="2"/>
  <c r="B144" i="2"/>
  <c r="B140" i="2"/>
  <c r="B136" i="2"/>
  <c r="B133" i="2"/>
  <c r="B128" i="2"/>
  <c r="B112" i="2"/>
  <c r="B107" i="2"/>
  <c r="B103" i="2"/>
  <c r="B98" i="2"/>
  <c r="B94" i="2"/>
  <c r="B90" i="2"/>
  <c r="B86" i="2"/>
  <c r="B81" i="2"/>
  <c r="B76" i="2"/>
  <c r="B69" i="2"/>
  <c r="B64" i="2"/>
  <c r="B60" i="2"/>
  <c r="B55" i="2"/>
  <c r="B50" i="2"/>
  <c r="B46" i="2"/>
  <c r="B41" i="2"/>
  <c r="B37" i="2"/>
  <c r="B33" i="2"/>
  <c r="B29" i="2"/>
  <c r="B25" i="2"/>
  <c r="B20" i="2"/>
  <c r="B13" i="2"/>
  <c r="B8" i="2"/>
  <c r="B5" i="2"/>
  <c r="B484" i="2"/>
  <c r="B483" i="2"/>
  <c r="B482" i="2"/>
  <c r="E6" i="2" l="1"/>
  <c r="F5" i="2"/>
  <c r="G7" i="1" a="1"/>
  <c r="G38" i="1" s="1"/>
  <c r="F6" i="2" l="1"/>
  <c r="E7" i="2"/>
  <c r="F7" i="2" l="1"/>
  <c r="E8" i="2"/>
  <c r="F8" i="2" l="1"/>
  <c r="E9" i="2"/>
  <c r="F9" i="2" l="1"/>
  <c r="E10" i="2"/>
  <c r="F10" i="2" l="1"/>
  <c r="E11" i="2"/>
  <c r="F11" i="2" l="1"/>
  <c r="E12" i="2"/>
  <c r="F12" i="2" l="1"/>
  <c r="E13" i="2"/>
  <c r="F13" i="2" l="1"/>
  <c r="E14" i="2"/>
  <c r="F14" i="2" l="1"/>
  <c r="E15" i="2"/>
  <c r="F15" i="2" l="1"/>
  <c r="E16" i="2"/>
  <c r="F16" i="2" l="1"/>
  <c r="E17" i="2"/>
  <c r="F17" i="2" l="1"/>
  <c r="E18" i="2"/>
  <c r="F18" i="2" l="1"/>
  <c r="E19" i="2"/>
  <c r="F19" i="2" l="1"/>
  <c r="E20" i="2"/>
  <c r="F20" i="2" l="1"/>
  <c r="E21" i="2"/>
  <c r="F21" i="2" l="1"/>
  <c r="E22" i="2"/>
  <c r="F22" i="2" l="1"/>
  <c r="E23" i="2"/>
  <c r="F23" i="2" l="1"/>
  <c r="E24" i="2"/>
  <c r="F24" i="2" l="1"/>
  <c r="E25" i="2"/>
  <c r="F25" i="2" l="1"/>
  <c r="E26" i="2"/>
  <c r="F26" i="2" l="1"/>
  <c r="E27" i="2"/>
  <c r="F27" i="2" l="1"/>
  <c r="E28" i="2"/>
  <c r="F28" i="2" l="1"/>
  <c r="E29" i="2"/>
  <c r="F29" i="2" l="1"/>
  <c r="E30" i="2"/>
  <c r="F30" i="2" l="1"/>
  <c r="E31" i="2"/>
  <c r="F31" i="2" l="1"/>
  <c r="E32" i="2"/>
  <c r="F32" i="2" l="1"/>
  <c r="E33" i="2"/>
  <c r="F33" i="2" l="1"/>
  <c r="E34" i="2"/>
  <c r="F34" i="2" l="1"/>
  <c r="E35" i="2"/>
  <c r="F35" i="2" l="1"/>
  <c r="E36" i="2"/>
  <c r="F36" i="2" l="1"/>
  <c r="E37" i="2"/>
  <c r="F37" i="2" l="1"/>
  <c r="E38" i="2"/>
  <c r="F38" i="2" l="1"/>
  <c r="E39" i="2"/>
  <c r="F39" i="2" l="1"/>
  <c r="E40" i="2"/>
  <c r="F40" i="2" l="1"/>
  <c r="E41" i="2"/>
  <c r="F41" i="2" l="1"/>
  <c r="E42" i="2"/>
  <c r="F42" i="2" l="1"/>
  <c r="E43" i="2"/>
  <c r="F43" i="2" l="1"/>
  <c r="E44" i="2"/>
  <c r="F44" i="2" l="1"/>
  <c r="E45" i="2"/>
  <c r="F45" i="2" l="1"/>
  <c r="E46" i="2"/>
  <c r="F46" i="2" l="1"/>
  <c r="E47" i="2"/>
  <c r="F47" i="2" l="1"/>
  <c r="E48" i="2"/>
  <c r="F48" i="2" l="1"/>
  <c r="E49" i="2"/>
  <c r="F49" i="2" l="1"/>
  <c r="E50" i="2"/>
  <c r="F50" i="2" l="1"/>
  <c r="E51" i="2"/>
  <c r="F51" i="2" l="1"/>
  <c r="E52" i="2"/>
  <c r="F52" i="2" l="1"/>
  <c r="E53" i="2"/>
  <c r="F53" i="2" l="1"/>
  <c r="E54" i="2"/>
  <c r="F54" i="2" l="1"/>
  <c r="E55" i="2"/>
  <c r="F55" i="2" l="1"/>
  <c r="E56" i="2"/>
  <c r="F56" i="2" l="1"/>
  <c r="E57" i="2"/>
  <c r="F57" i="2" l="1"/>
  <c r="E58" i="2"/>
  <c r="F58" i="2" l="1"/>
  <c r="E59" i="2"/>
  <c r="F59" i="2" l="1"/>
  <c r="E60" i="2"/>
  <c r="F60" i="2" l="1"/>
  <c r="E61" i="2"/>
  <c r="F61" i="2" l="1"/>
  <c r="E62" i="2"/>
  <c r="F62" i="2" l="1"/>
  <c r="E63" i="2"/>
  <c r="F63" i="2" l="1"/>
  <c r="E64" i="2"/>
  <c r="F64" i="2" l="1"/>
  <c r="E65" i="2"/>
  <c r="F65" i="2" l="1"/>
  <c r="E66" i="2"/>
  <c r="F66" i="2" l="1"/>
  <c r="E67" i="2"/>
  <c r="F67" i="2" l="1"/>
  <c r="E68" i="2"/>
  <c r="F68" i="2" l="1"/>
  <c r="E69" i="2"/>
  <c r="F69" i="2" l="1"/>
  <c r="E70" i="2"/>
  <c r="F70" i="2" l="1"/>
  <c r="E71" i="2"/>
  <c r="F71" i="2" l="1"/>
  <c r="E72" i="2"/>
  <c r="F72" i="2" l="1"/>
  <c r="E73" i="2"/>
  <c r="F73" i="2" l="1"/>
  <c r="E74" i="2"/>
  <c r="F74" i="2" l="1"/>
  <c r="E75" i="2"/>
  <c r="F75" i="2" l="1"/>
  <c r="E76" i="2"/>
  <c r="F76" i="2" l="1"/>
  <c r="E77" i="2"/>
  <c r="F77" i="2" l="1"/>
  <c r="E78" i="2"/>
  <c r="F78" i="2" l="1"/>
  <c r="E79" i="2"/>
  <c r="F79" i="2" l="1"/>
  <c r="E80" i="2"/>
  <c r="F80" i="2" l="1"/>
  <c r="E81" i="2"/>
  <c r="F81" i="2" l="1"/>
  <c r="E82" i="2"/>
  <c r="F82" i="2" l="1"/>
  <c r="E83" i="2"/>
  <c r="F83" i="2" l="1"/>
  <c r="E84" i="2"/>
  <c r="F84" i="2" l="1"/>
  <c r="E85" i="2"/>
  <c r="F85" i="2" l="1"/>
  <c r="E86" i="2"/>
  <c r="F86" i="2" l="1"/>
  <c r="E87" i="2"/>
  <c r="F87" i="2" l="1"/>
  <c r="E88" i="2"/>
  <c r="F88" i="2" l="1"/>
  <c r="E89" i="2"/>
  <c r="F89" i="2" l="1"/>
  <c r="E90" i="2"/>
  <c r="F90" i="2" l="1"/>
  <c r="E91" i="2"/>
  <c r="F91" i="2" l="1"/>
  <c r="E92" i="2"/>
  <c r="F92" i="2" l="1"/>
  <c r="E93" i="2"/>
  <c r="F93" i="2" l="1"/>
  <c r="E94" i="2"/>
  <c r="F94" i="2" l="1"/>
  <c r="E95" i="2"/>
  <c r="F95" i="2" l="1"/>
  <c r="E96" i="2"/>
  <c r="F96" i="2" l="1"/>
  <c r="E97" i="2"/>
  <c r="F97" i="2" l="1"/>
  <c r="E98" i="2"/>
  <c r="F98" i="2" l="1"/>
  <c r="E99" i="2"/>
  <c r="F99" i="2" l="1"/>
  <c r="E100" i="2"/>
  <c r="F100" i="2" l="1"/>
  <c r="E101" i="2"/>
  <c r="F101" i="2" l="1"/>
  <c r="E102" i="2"/>
  <c r="F102" i="2" l="1"/>
  <c r="E103" i="2"/>
  <c r="F103" i="2" l="1"/>
  <c r="E104" i="2"/>
  <c r="F104" i="2" l="1"/>
  <c r="E105" i="2"/>
  <c r="F105" i="2" l="1"/>
  <c r="E106" i="2"/>
  <c r="F106" i="2" l="1"/>
  <c r="E107" i="2"/>
  <c r="F107" i="2" l="1"/>
  <c r="E108" i="2"/>
  <c r="F108" i="2" l="1"/>
  <c r="E109" i="2"/>
  <c r="F109" i="2" l="1"/>
  <c r="E110" i="2"/>
  <c r="F110" i="2" l="1"/>
  <c r="E111" i="2"/>
  <c r="F111" i="2" l="1"/>
  <c r="E112" i="2"/>
  <c r="F112" i="2" l="1"/>
  <c r="E113" i="2"/>
  <c r="F113" i="2" l="1"/>
  <c r="E114" i="2"/>
  <c r="F114" i="2" l="1"/>
  <c r="E115" i="2"/>
  <c r="F115" i="2" l="1"/>
  <c r="E116" i="2"/>
  <c r="F116" i="2" l="1"/>
  <c r="E117" i="2"/>
  <c r="F117" i="2" l="1"/>
  <c r="E118" i="2"/>
  <c r="F118" i="2" l="1"/>
  <c r="E119" i="2"/>
  <c r="F119" i="2" l="1"/>
  <c r="E120" i="2"/>
  <c r="F120" i="2" l="1"/>
  <c r="E121" i="2"/>
  <c r="F121" i="2" l="1"/>
  <c r="E122" i="2"/>
  <c r="F122" i="2" l="1"/>
  <c r="E123" i="2"/>
  <c r="F123" i="2" l="1"/>
  <c r="E124" i="2"/>
  <c r="F124" i="2" l="1"/>
  <c r="E125" i="2"/>
  <c r="G8" i="1" a="1"/>
  <c r="F125" i="2" l="1"/>
  <c r="E126" i="2"/>
  <c r="D41" i="1"/>
  <c r="D40" i="1"/>
  <c r="D39" i="1"/>
  <c r="D38" i="1"/>
  <c r="G9" i="1"/>
  <c r="G10" i="1"/>
  <c r="D42" i="1" l="1"/>
  <c r="G11" i="1"/>
  <c r="G39" i="1"/>
  <c r="F126" i="2"/>
  <c r="E127" i="2"/>
  <c r="F127" i="2" l="1"/>
  <c r="E128" i="2"/>
  <c r="F128" i="2" l="1"/>
  <c r="E129" i="2"/>
  <c r="F129" i="2" l="1"/>
  <c r="E130" i="2"/>
  <c r="F130" i="2" l="1"/>
  <c r="E131" i="2"/>
  <c r="F131" i="2" l="1"/>
  <c r="E132" i="2"/>
  <c r="F132" i="2" l="1"/>
  <c r="E133" i="2"/>
  <c r="F133" i="2" l="1"/>
  <c r="E134" i="2"/>
  <c r="F134" i="2" l="1"/>
  <c r="E135" i="2"/>
  <c r="F135" i="2" l="1"/>
  <c r="E136" i="2"/>
  <c r="F136" i="2" l="1"/>
  <c r="E137" i="2"/>
  <c r="F137" i="2" l="1"/>
  <c r="E138" i="2"/>
  <c r="F138" i="2" l="1"/>
  <c r="E139" i="2"/>
  <c r="F139" i="2" l="1"/>
  <c r="E140" i="2"/>
  <c r="F140" i="2" l="1"/>
  <c r="E141" i="2"/>
  <c r="F141" i="2" l="1"/>
  <c r="E142" i="2"/>
  <c r="F142" i="2" l="1"/>
  <c r="E143" i="2"/>
  <c r="F143" i="2" l="1"/>
  <c r="E144" i="2"/>
  <c r="F144" i="2" l="1"/>
  <c r="E145" i="2"/>
  <c r="F145" i="2" l="1"/>
  <c r="E146" i="2"/>
  <c r="F146" i="2" l="1"/>
  <c r="E147" i="2"/>
  <c r="F147" i="2" l="1"/>
  <c r="E148" i="2"/>
  <c r="F148" i="2" l="1"/>
  <c r="E149" i="2"/>
  <c r="F149" i="2" l="1"/>
  <c r="E150" i="2"/>
  <c r="F150" i="2" l="1"/>
  <c r="E151" i="2"/>
  <c r="F151" i="2" l="1"/>
  <c r="E152" i="2"/>
  <c r="F152" i="2" l="1"/>
  <c r="E153" i="2"/>
  <c r="F153" i="2" l="1"/>
  <c r="E154" i="2"/>
  <c r="F154" i="2" l="1"/>
  <c r="E155" i="2"/>
  <c r="F155" i="2" l="1"/>
  <c r="E156" i="2"/>
  <c r="F156" i="2" l="1"/>
  <c r="E157" i="2"/>
  <c r="F157" i="2" l="1"/>
  <c r="E158" i="2"/>
  <c r="F158" i="2" l="1"/>
  <c r="E159" i="2"/>
  <c r="F159" i="2" l="1"/>
  <c r="E160" i="2"/>
  <c r="F160" i="2" l="1"/>
  <c r="E161" i="2"/>
  <c r="F161" i="2" l="1"/>
  <c r="E162" i="2"/>
  <c r="F162" i="2" l="1"/>
  <c r="E163" i="2"/>
  <c r="F163" i="2" l="1"/>
  <c r="E164" i="2"/>
  <c r="F164" i="2" l="1"/>
  <c r="E165" i="2"/>
  <c r="F165" i="2" l="1"/>
  <c r="E166" i="2"/>
  <c r="F166" i="2" l="1"/>
  <c r="E167" i="2"/>
  <c r="F167" i="2" l="1"/>
  <c r="E168" i="2"/>
  <c r="F168" i="2" l="1"/>
  <c r="E169" i="2"/>
  <c r="F169" i="2" l="1"/>
  <c r="E170" i="2"/>
  <c r="F170" i="2" l="1"/>
  <c r="E171" i="2"/>
  <c r="F171" i="2" l="1"/>
  <c r="E172" i="2"/>
  <c r="F172" i="2" l="1"/>
  <c r="E173" i="2"/>
  <c r="F173" i="2" l="1"/>
  <c r="E174" i="2"/>
  <c r="F174" i="2" l="1"/>
  <c r="E175" i="2"/>
  <c r="F175" i="2" l="1"/>
  <c r="E176" i="2"/>
  <c r="F176" i="2" l="1"/>
  <c r="E177" i="2"/>
  <c r="F177" i="2" l="1"/>
  <c r="E178" i="2"/>
  <c r="F178" i="2" l="1"/>
  <c r="E179" i="2"/>
  <c r="F179" i="2" l="1"/>
  <c r="E180" i="2"/>
  <c r="F180" i="2" l="1"/>
  <c r="E181" i="2"/>
  <c r="F181" i="2" l="1"/>
  <c r="E182" i="2"/>
  <c r="F182" i="2" l="1"/>
  <c r="E183" i="2"/>
  <c r="F183" i="2" l="1"/>
  <c r="E184" i="2"/>
  <c r="F184" i="2" l="1"/>
  <c r="E185" i="2"/>
  <c r="F185" i="2" l="1"/>
  <c r="E186" i="2"/>
  <c r="F186" i="2" l="1"/>
  <c r="E187" i="2"/>
  <c r="F187" i="2" l="1"/>
  <c r="E188" i="2"/>
  <c r="F188" i="2" l="1"/>
  <c r="E189" i="2"/>
  <c r="F189" i="2" l="1"/>
  <c r="E190" i="2"/>
  <c r="F190" i="2" l="1"/>
  <c r="E191" i="2"/>
  <c r="F191" i="2" l="1"/>
  <c r="E192" i="2"/>
  <c r="F192" i="2" l="1"/>
  <c r="E193" i="2"/>
  <c r="F193" i="2" l="1"/>
  <c r="E194" i="2"/>
  <c r="F194" i="2" l="1"/>
  <c r="E195" i="2"/>
  <c r="F195" i="2" l="1"/>
  <c r="E196" i="2"/>
  <c r="F196" i="2" l="1"/>
  <c r="E197" i="2"/>
  <c r="F197" i="2" l="1"/>
  <c r="E198" i="2"/>
  <c r="F198" i="2" l="1"/>
  <c r="E199" i="2"/>
  <c r="F199" i="2" l="1"/>
  <c r="E200" i="2"/>
  <c r="F200" i="2" l="1"/>
  <c r="E201" i="2"/>
  <c r="F201" i="2" l="1"/>
  <c r="E202" i="2"/>
  <c r="F202" i="2" l="1"/>
  <c r="E203" i="2"/>
  <c r="F203" i="2" l="1"/>
  <c r="E204" i="2"/>
  <c r="F204" i="2" l="1"/>
  <c r="E205" i="2"/>
  <c r="F205" i="2" l="1"/>
  <c r="E206" i="2"/>
  <c r="F206" i="2" l="1"/>
  <c r="E207" i="2"/>
  <c r="F207" i="2" l="1"/>
  <c r="E208" i="2"/>
  <c r="F208" i="2" l="1"/>
  <c r="E209" i="2"/>
  <c r="F209" i="2" l="1"/>
  <c r="E210" i="2"/>
  <c r="F210" i="2" l="1"/>
  <c r="E211" i="2"/>
  <c r="F211" i="2" l="1"/>
  <c r="E212" i="2"/>
  <c r="F212" i="2" l="1"/>
  <c r="E213" i="2"/>
  <c r="F213" i="2" l="1"/>
  <c r="E214" i="2"/>
  <c r="F214" i="2" l="1"/>
  <c r="E215" i="2"/>
  <c r="F215" i="2" l="1"/>
  <c r="E216" i="2"/>
  <c r="F216" i="2" l="1"/>
  <c r="E217" i="2"/>
  <c r="F217" i="2" l="1"/>
  <c r="E218" i="2"/>
  <c r="F218" i="2" l="1"/>
  <c r="E219" i="2"/>
  <c r="F219" i="2" l="1"/>
  <c r="E220" i="2"/>
  <c r="F220" i="2" l="1"/>
  <c r="E221" i="2"/>
  <c r="F221" i="2" l="1"/>
  <c r="E222" i="2"/>
  <c r="F222" i="2" l="1"/>
  <c r="E223" i="2"/>
  <c r="F223" i="2" l="1"/>
  <c r="E224" i="2"/>
  <c r="F224" i="2" l="1"/>
  <c r="E225" i="2"/>
  <c r="F225" i="2" l="1"/>
  <c r="E226" i="2"/>
  <c r="F226" i="2" l="1"/>
  <c r="E227" i="2"/>
  <c r="F227" i="2" l="1"/>
  <c r="E228" i="2"/>
  <c r="F228" i="2" l="1"/>
  <c r="E229" i="2"/>
  <c r="F229" i="2" l="1"/>
  <c r="E230" i="2"/>
  <c r="F230" i="2" l="1"/>
  <c r="E231" i="2"/>
  <c r="F231" i="2" l="1"/>
  <c r="E232" i="2"/>
  <c r="F232" i="2" l="1"/>
  <c r="E233" i="2"/>
  <c r="F233" i="2" l="1"/>
  <c r="E234" i="2"/>
  <c r="F234" i="2" l="1"/>
  <c r="E235" i="2"/>
  <c r="F235" i="2" l="1"/>
  <c r="E236" i="2"/>
  <c r="F236" i="2" l="1"/>
  <c r="E237" i="2"/>
  <c r="F237" i="2" l="1"/>
  <c r="E238" i="2"/>
  <c r="F238" i="2" l="1"/>
  <c r="E239" i="2"/>
  <c r="F239" i="2" l="1"/>
  <c r="E240" i="2"/>
  <c r="F240" i="2" l="1"/>
  <c r="E241" i="2"/>
  <c r="F241" i="2" l="1"/>
  <c r="E242" i="2"/>
  <c r="F242" i="2" l="1"/>
  <c r="E243" i="2"/>
  <c r="F243" i="2" l="1"/>
  <c r="E244" i="2"/>
  <c r="F244" i="2" l="1"/>
  <c r="E245" i="2"/>
  <c r="F245" i="2" l="1"/>
  <c r="E246" i="2"/>
  <c r="F246" i="2" l="1"/>
  <c r="E247" i="2"/>
  <c r="F247" i="2" l="1"/>
  <c r="E248" i="2"/>
  <c r="F248" i="2" l="1"/>
  <c r="E249" i="2"/>
  <c r="F249" i="2" l="1"/>
  <c r="E250" i="2"/>
  <c r="F250" i="2" l="1"/>
  <c r="E251" i="2"/>
  <c r="F251" i="2" l="1"/>
  <c r="E252" i="2"/>
  <c r="F252" i="2" l="1"/>
  <c r="E253" i="2"/>
  <c r="F253" i="2" l="1"/>
  <c r="E254" i="2"/>
  <c r="F254" i="2" l="1"/>
  <c r="E255" i="2"/>
  <c r="F255" i="2" l="1"/>
  <c r="E256" i="2"/>
  <c r="F256" i="2" l="1"/>
  <c r="E257" i="2"/>
  <c r="F257" i="2" l="1"/>
  <c r="E258" i="2"/>
  <c r="F258" i="2" l="1"/>
  <c r="E259" i="2"/>
  <c r="F259" i="2" l="1"/>
  <c r="E260" i="2"/>
  <c r="F260" i="2" l="1"/>
  <c r="E261" i="2"/>
  <c r="F261" i="2" l="1"/>
  <c r="E262" i="2"/>
  <c r="F262" i="2" l="1"/>
  <c r="E263" i="2"/>
  <c r="F263" i="2" l="1"/>
  <c r="E264" i="2"/>
  <c r="F264" i="2" l="1"/>
  <c r="E265" i="2"/>
  <c r="F265" i="2" l="1"/>
  <c r="E266" i="2"/>
  <c r="F266" i="2" l="1"/>
  <c r="E267" i="2"/>
  <c r="F267" i="2" l="1"/>
  <c r="E268" i="2"/>
  <c r="F268" i="2" l="1"/>
  <c r="E269" i="2"/>
  <c r="F269" i="2" l="1"/>
  <c r="E270" i="2"/>
  <c r="F270" i="2" l="1"/>
  <c r="E271" i="2"/>
  <c r="F271" i="2" l="1"/>
  <c r="E272" i="2"/>
  <c r="F272" i="2" l="1"/>
  <c r="E273" i="2"/>
  <c r="F273" i="2" l="1"/>
  <c r="E274" i="2"/>
  <c r="F274" i="2" l="1"/>
  <c r="E275" i="2"/>
  <c r="F275" i="2" l="1"/>
  <c r="E276" i="2"/>
  <c r="F276" i="2" l="1"/>
  <c r="E277" i="2"/>
  <c r="F277" i="2" l="1"/>
  <c r="E278" i="2"/>
  <c r="F278" i="2" l="1"/>
  <c r="E279" i="2"/>
  <c r="F279" i="2" l="1"/>
  <c r="E280" i="2"/>
  <c r="F280" i="2" l="1"/>
  <c r="E281" i="2"/>
  <c r="F281" i="2" l="1"/>
  <c r="E282" i="2"/>
  <c r="F282" i="2" l="1"/>
  <c r="E283" i="2"/>
  <c r="F283" i="2" l="1"/>
  <c r="E284" i="2"/>
  <c r="F284" i="2" l="1"/>
  <c r="E285" i="2"/>
  <c r="F285" i="2" l="1"/>
  <c r="E286" i="2"/>
  <c r="F286" i="2" l="1"/>
  <c r="E287" i="2"/>
  <c r="F287" i="2" l="1"/>
  <c r="E288" i="2"/>
  <c r="F288" i="2" l="1"/>
  <c r="E289" i="2"/>
  <c r="F289" i="2" l="1"/>
  <c r="E290" i="2"/>
  <c r="F290" i="2" l="1"/>
  <c r="E291" i="2"/>
  <c r="F291" i="2" l="1"/>
  <c r="E292" i="2"/>
  <c r="F292" i="2" l="1"/>
  <c r="E293" i="2"/>
  <c r="F293" i="2" l="1"/>
  <c r="E294" i="2"/>
  <c r="F294" i="2" l="1"/>
  <c r="E295" i="2"/>
  <c r="F295" i="2" l="1"/>
  <c r="E296" i="2"/>
  <c r="F296" i="2" l="1"/>
  <c r="E297" i="2"/>
  <c r="F297" i="2" l="1"/>
  <c r="E298" i="2"/>
  <c r="F298" i="2" l="1"/>
  <c r="E299" i="2"/>
  <c r="F299" i="2" l="1"/>
  <c r="E300" i="2"/>
  <c r="F300" i="2" l="1"/>
  <c r="E301" i="2"/>
  <c r="F301" i="2" l="1"/>
  <c r="E302" i="2"/>
  <c r="F302" i="2" l="1"/>
  <c r="E303" i="2"/>
  <c r="F303" i="2" l="1"/>
  <c r="E304" i="2"/>
  <c r="F304" i="2" l="1"/>
  <c r="E305" i="2"/>
  <c r="F305" i="2" l="1"/>
  <c r="E306" i="2"/>
  <c r="F306" i="2" l="1"/>
  <c r="E307" i="2"/>
  <c r="F307" i="2" l="1"/>
  <c r="E308" i="2"/>
  <c r="F308" i="2" l="1"/>
  <c r="E309" i="2"/>
  <c r="F309" i="2" l="1"/>
  <c r="E310" i="2"/>
  <c r="F310" i="2" l="1"/>
  <c r="E311" i="2"/>
  <c r="F311" i="2" l="1"/>
  <c r="E312" i="2"/>
  <c r="F312" i="2" l="1"/>
  <c r="E313" i="2"/>
  <c r="F313" i="2" l="1"/>
  <c r="E314" i="2"/>
  <c r="F314" i="2" l="1"/>
  <c r="E315" i="2"/>
  <c r="F315" i="2" l="1"/>
  <c r="E316" i="2"/>
  <c r="F316" i="2" l="1"/>
  <c r="E317" i="2"/>
  <c r="F317" i="2" l="1"/>
  <c r="E318" i="2"/>
  <c r="F318" i="2" l="1"/>
  <c r="E319" i="2"/>
  <c r="F319" i="2" l="1"/>
  <c r="E320" i="2"/>
  <c r="F320" i="2" l="1"/>
  <c r="E321" i="2"/>
  <c r="F321" i="2" l="1"/>
  <c r="E322" i="2"/>
  <c r="F322" i="2" l="1"/>
  <c r="E323" i="2"/>
  <c r="F323" i="2" l="1"/>
  <c r="E324" i="2"/>
  <c r="F324" i="2" l="1"/>
  <c r="E325" i="2"/>
  <c r="F325" i="2" l="1"/>
  <c r="E326" i="2"/>
  <c r="F326" i="2" l="1"/>
  <c r="E327" i="2"/>
  <c r="F327" i="2" l="1"/>
  <c r="E328" i="2"/>
  <c r="F328" i="2" l="1"/>
  <c r="E329" i="2"/>
  <c r="F329" i="2" l="1"/>
  <c r="E330" i="2"/>
  <c r="F330" i="2" l="1"/>
  <c r="E331" i="2"/>
  <c r="F331" i="2" l="1"/>
  <c r="E332" i="2"/>
  <c r="F332" i="2" l="1"/>
  <c r="E333" i="2"/>
  <c r="F333" i="2" l="1"/>
  <c r="E334" i="2"/>
  <c r="F334" i="2" l="1"/>
  <c r="E335" i="2"/>
  <c r="F335" i="2" l="1"/>
  <c r="E336" i="2"/>
  <c r="F336" i="2" l="1"/>
  <c r="E337" i="2"/>
  <c r="F337" i="2" l="1"/>
  <c r="E338" i="2"/>
  <c r="F338" i="2" l="1"/>
  <c r="E339" i="2"/>
  <c r="F339" i="2" l="1"/>
  <c r="E340" i="2"/>
  <c r="F340" i="2" l="1"/>
  <c r="E341" i="2"/>
  <c r="F341" i="2" l="1"/>
  <c r="E342" i="2"/>
  <c r="F342" i="2" l="1"/>
  <c r="E343" i="2"/>
  <c r="F343" i="2" l="1"/>
  <c r="E344" i="2"/>
  <c r="F344" i="2" l="1"/>
  <c r="E345" i="2"/>
  <c r="F345" i="2" l="1"/>
  <c r="E346" i="2"/>
  <c r="F346" i="2" l="1"/>
  <c r="E347" i="2"/>
  <c r="F347" i="2" l="1"/>
  <c r="E348" i="2"/>
  <c r="F348" i="2" l="1"/>
  <c r="E349" i="2"/>
  <c r="F349" i="2" l="1"/>
  <c r="E350" i="2"/>
  <c r="F350" i="2" l="1"/>
  <c r="E351" i="2"/>
  <c r="F351" i="2" l="1"/>
  <c r="E352" i="2"/>
  <c r="F352" i="2" l="1"/>
  <c r="E353" i="2"/>
  <c r="F353" i="2" l="1"/>
  <c r="E354" i="2"/>
  <c r="F354" i="2" l="1"/>
  <c r="E355" i="2"/>
  <c r="F355" i="2" l="1"/>
  <c r="E356" i="2"/>
  <c r="F356" i="2" l="1"/>
  <c r="E357" i="2"/>
  <c r="F357" i="2" l="1"/>
  <c r="E358" i="2"/>
  <c r="F358" i="2" l="1"/>
  <c r="E359" i="2"/>
  <c r="F359" i="2" l="1"/>
  <c r="E360" i="2"/>
  <c r="F360" i="2" l="1"/>
  <c r="E361" i="2"/>
  <c r="F361" i="2" l="1"/>
  <c r="E362" i="2"/>
  <c r="F362" i="2" l="1"/>
  <c r="E363" i="2"/>
  <c r="F363" i="2" l="1"/>
  <c r="E364" i="2"/>
  <c r="F364" i="2" l="1"/>
  <c r="E365" i="2"/>
  <c r="F365" i="2" l="1"/>
  <c r="E366" i="2"/>
  <c r="F366" i="2" l="1"/>
  <c r="E367" i="2"/>
  <c r="F367" i="2" l="1"/>
  <c r="E368" i="2"/>
  <c r="F368" i="2" l="1"/>
  <c r="E369" i="2"/>
  <c r="F369" i="2" l="1"/>
  <c r="E370" i="2"/>
  <c r="F370" i="2" l="1"/>
  <c r="E371" i="2"/>
  <c r="F371" i="2" l="1"/>
  <c r="E372" i="2"/>
  <c r="F372" i="2" l="1"/>
  <c r="E373" i="2"/>
  <c r="F373" i="2" l="1"/>
  <c r="E374" i="2"/>
  <c r="F374" i="2" l="1"/>
  <c r="E375" i="2"/>
  <c r="F375" i="2" l="1"/>
  <c r="E376" i="2"/>
  <c r="F376" i="2" l="1"/>
  <c r="E377" i="2"/>
  <c r="F377" i="2" l="1"/>
  <c r="E378" i="2"/>
  <c r="F378" i="2" l="1"/>
  <c r="E379" i="2"/>
  <c r="F379" i="2" l="1"/>
  <c r="E380" i="2"/>
  <c r="F380" i="2" l="1"/>
  <c r="E381" i="2"/>
  <c r="F381" i="2" l="1"/>
  <c r="E382" i="2"/>
  <c r="F382" i="2" l="1"/>
  <c r="E383" i="2"/>
  <c r="F383" i="2" l="1"/>
  <c r="E384" i="2"/>
  <c r="F384" i="2" l="1"/>
  <c r="E385" i="2"/>
  <c r="F385" i="2" l="1"/>
  <c r="E386" i="2"/>
  <c r="F386" i="2" l="1"/>
  <c r="E387" i="2"/>
  <c r="F387" i="2" l="1"/>
  <c r="E388" i="2"/>
  <c r="F388" i="2" l="1"/>
  <c r="E389" i="2"/>
  <c r="F389" i="2" l="1"/>
  <c r="E390" i="2"/>
  <c r="F390" i="2" l="1"/>
  <c r="E391" i="2"/>
  <c r="F391" i="2" l="1"/>
  <c r="E392" i="2"/>
  <c r="F392" i="2" l="1"/>
  <c r="E393" i="2"/>
  <c r="F393" i="2" l="1"/>
  <c r="E394" i="2"/>
  <c r="F394" i="2" l="1"/>
  <c r="E395" i="2"/>
  <c r="F395" i="2" l="1"/>
  <c r="E396" i="2"/>
  <c r="F396" i="2" l="1"/>
  <c r="E397" i="2"/>
  <c r="F397" i="2" l="1"/>
  <c r="E398" i="2"/>
  <c r="F398" i="2" l="1"/>
  <c r="E399" i="2"/>
  <c r="F399" i="2" l="1"/>
  <c r="E400" i="2"/>
  <c r="F400" i="2" l="1"/>
  <c r="E401" i="2"/>
  <c r="F401" i="2" l="1"/>
  <c r="E402" i="2"/>
  <c r="F402" i="2" l="1"/>
  <c r="E403" i="2"/>
  <c r="F403" i="2" l="1"/>
  <c r="E404" i="2"/>
  <c r="F404" i="2" l="1"/>
  <c r="E405" i="2"/>
  <c r="F405" i="2" l="1"/>
  <c r="E406" i="2"/>
  <c r="F406" i="2" l="1"/>
  <c r="E407" i="2"/>
  <c r="F407" i="2" l="1"/>
  <c r="E408" i="2"/>
  <c r="F408" i="2" l="1"/>
  <c r="E409" i="2"/>
  <c r="F409" i="2" l="1"/>
  <c r="E410" i="2"/>
  <c r="F410" i="2" l="1"/>
  <c r="E411" i="2"/>
  <c r="F411" i="2" l="1"/>
  <c r="E412" i="2"/>
  <c r="F412" i="2" l="1"/>
  <c r="E413" i="2"/>
  <c r="F413" i="2" l="1"/>
  <c r="E414" i="2"/>
  <c r="F414" i="2" l="1"/>
  <c r="E415" i="2"/>
  <c r="F415" i="2" l="1"/>
  <c r="E416" i="2"/>
  <c r="F416" i="2" l="1"/>
  <c r="E417" i="2"/>
  <c r="F417" i="2" l="1"/>
  <c r="E418" i="2"/>
  <c r="F418" i="2" l="1"/>
  <c r="E419" i="2"/>
  <c r="F419" i="2" l="1"/>
  <c r="E420" i="2"/>
  <c r="F420" i="2" l="1"/>
  <c r="E421" i="2"/>
  <c r="F421" i="2" l="1"/>
  <c r="E422" i="2"/>
  <c r="F422" i="2" l="1"/>
  <c r="E423" i="2"/>
  <c r="F423" i="2" l="1"/>
  <c r="E424" i="2"/>
  <c r="F424" i="2" l="1"/>
  <c r="E425" i="2"/>
  <c r="F425" i="2" l="1"/>
  <c r="E426" i="2"/>
  <c r="F426" i="2" l="1"/>
  <c r="E427" i="2"/>
  <c r="F427" i="2" l="1"/>
  <c r="E428" i="2"/>
  <c r="F428" i="2" l="1"/>
  <c r="E429" i="2"/>
  <c r="F429" i="2" l="1"/>
  <c r="E430" i="2"/>
  <c r="F430" i="2" l="1"/>
  <c r="E431" i="2"/>
  <c r="F431" i="2" l="1"/>
  <c r="E432" i="2"/>
  <c r="F432" i="2" l="1"/>
  <c r="E433" i="2"/>
  <c r="F433" i="2" l="1"/>
  <c r="E434" i="2"/>
  <c r="F434" i="2" l="1"/>
  <c r="E435" i="2"/>
  <c r="F435" i="2" l="1"/>
  <c r="E436" i="2"/>
  <c r="F436" i="2" l="1"/>
  <c r="E437" i="2"/>
  <c r="F437" i="2" l="1"/>
  <c r="E438" i="2"/>
  <c r="F438" i="2" l="1"/>
  <c r="E439" i="2"/>
  <c r="F439" i="2" l="1"/>
  <c r="E440" i="2"/>
  <c r="F440" i="2" l="1"/>
  <c r="E441" i="2"/>
  <c r="F441" i="2" l="1"/>
  <c r="E442" i="2"/>
  <c r="F442" i="2" l="1"/>
  <c r="E443" i="2"/>
  <c r="F443" i="2" l="1"/>
  <c r="E444" i="2"/>
  <c r="F444" i="2" l="1"/>
  <c r="E445" i="2"/>
  <c r="F445" i="2" l="1"/>
  <c r="E446" i="2"/>
  <c r="F446" i="2" l="1"/>
  <c r="E447" i="2"/>
  <c r="F447" i="2" l="1"/>
  <c r="E448" i="2"/>
  <c r="F448" i="2" l="1"/>
  <c r="E449" i="2"/>
  <c r="F449" i="2" l="1"/>
  <c r="E450" i="2"/>
  <c r="F450" i="2" l="1"/>
  <c r="E451" i="2"/>
  <c r="F451" i="2" l="1"/>
  <c r="E452" i="2"/>
  <c r="F452" i="2" l="1"/>
  <c r="E453" i="2"/>
  <c r="F453" i="2" l="1"/>
  <c r="E454" i="2"/>
  <c r="F454" i="2" l="1"/>
  <c r="E455" i="2"/>
  <c r="F455" i="2" l="1"/>
  <c r="E456" i="2"/>
  <c r="F456" i="2" l="1"/>
  <c r="E457" i="2"/>
  <c r="F457" i="2" l="1"/>
  <c r="E458" i="2"/>
  <c r="F458" i="2" l="1"/>
  <c r="E459" i="2"/>
  <c r="F459" i="2" l="1"/>
  <c r="E460" i="2"/>
  <c r="F460" i="2" l="1"/>
  <c r="E461" i="2"/>
  <c r="F461" i="2" l="1"/>
  <c r="E462" i="2"/>
  <c r="F462" i="2" l="1"/>
  <c r="E463" i="2"/>
  <c r="F463" i="2" l="1"/>
  <c r="E464" i="2"/>
  <c r="F464" i="2" l="1"/>
  <c r="E465" i="2"/>
  <c r="F465" i="2" l="1"/>
  <c r="E466" i="2"/>
  <c r="F466" i="2" l="1"/>
  <c r="E467" i="2"/>
  <c r="F467" i="2" l="1"/>
  <c r="E468" i="2"/>
  <c r="F468" i="2" l="1"/>
  <c r="E469" i="2"/>
  <c r="F469" i="2" l="1"/>
  <c r="E470" i="2"/>
  <c r="F470" i="2" l="1"/>
  <c r="E471" i="2"/>
  <c r="F471" i="2" l="1"/>
  <c r="E472" i="2"/>
  <c r="F472" i="2" l="1"/>
  <c r="E473" i="2"/>
  <c r="F473" i="2" l="1"/>
  <c r="E474" i="2"/>
  <c r="F474" i="2" l="1"/>
  <c r="E475" i="2"/>
  <c r="F475" i="2" l="1"/>
  <c r="E476" i="2"/>
  <c r="F476" i="2" l="1"/>
  <c r="E477" i="2"/>
  <c r="F477" i="2" l="1"/>
  <c r="E478" i="2"/>
  <c r="F478" i="2" l="1"/>
  <c r="E479" i="2"/>
  <c r="F479" i="2" l="1"/>
  <c r="E480" i="2"/>
  <c r="F480" i="2" l="1"/>
  <c r="E481" i="2"/>
  <c r="F481" i="2" l="1"/>
  <c r="E482" i="2"/>
  <c r="F482" i="2" l="1"/>
  <c r="E483" i="2"/>
  <c r="F483" i="2" l="1"/>
  <c r="E484" i="2"/>
  <c r="F484" i="2" s="1"/>
  <c r="G8" i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<sst xmlns="http://schemas.openxmlformats.org/spreadsheetml/2006/main" count="50" uniqueCount="46">
  <si>
    <t>APP Invest</t>
  </si>
  <si>
    <t>Simulador de investimento mensal</t>
  </si>
  <si>
    <t>PREMISSAS DA SIMULAÇÃO</t>
  </si>
  <si>
    <t>RESULTADOS ESTIMADOS</t>
  </si>
  <si>
    <t>Quanto investir por mês?</t>
  </si>
  <si>
    <t>Calculado pela soma dos aportes em FIIs abaixo</t>
  </si>
  <si>
    <t>Valor total investido</t>
  </si>
  <si>
    <t>Valor inicial</t>
  </si>
  <si>
    <t>Patrimônio já disponível no início</t>
  </si>
  <si>
    <t>Patrimônio acumulado</t>
  </si>
  <si>
    <t>Por quanto tempo?</t>
  </si>
  <si>
    <t>anos</t>
  </si>
  <si>
    <t>Prazo máximo sugerido: 40 anos</t>
  </si>
  <si>
    <t>Rendimento acumulado</t>
  </si>
  <si>
    <t>Taxa de rendimento</t>
  </si>
  <si>
    <t>ao ano</t>
  </si>
  <si>
    <t>Convertida automaticamente para taxa mensal equivalente</t>
  </si>
  <si>
    <t>Dividendos mensais</t>
  </si>
  <si>
    <t>Dividend yield</t>
  </si>
  <si>
    <t>Média ponderada pelos aportes em cada tipo de FII</t>
  </si>
  <si>
    <t>Rentabilidade total</t>
  </si>
  <si>
    <t>Reajuste anual do aporte</t>
  </si>
  <si>
    <t>Aumenta o aporte a cada 12 meses</t>
  </si>
  <si>
    <t>Taxa mensal equivalente</t>
  </si>
  <si>
    <t>Cenário ilustrativo; impostos, inflação e taxas não estão descontados.</t>
  </si>
  <si>
    <t>CARTEIRA DE FUNDOS IMOBILIÁRIOS (FIIs)</t>
  </si>
  <si>
    <t>COMPOSIÇÃO DO RETORNO</t>
  </si>
  <si>
    <t>Tipo de fundo</t>
  </si>
  <si>
    <t>Aporte mensal</t>
  </si>
  <si>
    <t>Dividend yield a.a.</t>
  </si>
  <si>
    <t>Dividendos mensais estimados</t>
  </si>
  <si>
    <t>Componente</t>
  </si>
  <si>
    <t>Valor</t>
  </si>
  <si>
    <t>FIIs de Papel</t>
  </si>
  <si>
    <t>Valor investido</t>
  </si>
  <si>
    <t>FIIs de Tijolo</t>
  </si>
  <si>
    <t>Rendimentos</t>
  </si>
  <si>
    <t>FIIs Híbridos</t>
  </si>
  <si>
    <t>Fundos de Fundos (FOFs)</t>
  </si>
  <si>
    <t>Total / média ponderada</t>
  </si>
  <si>
    <t>Edite os aportes e as taxas nas células amarelas; todos os totais, projeções, dividendos e gráficos serão recalculados automaticamente.</t>
  </si>
  <si>
    <t>PROJEÇÃO MENSAL — APP Invest</t>
  </si>
  <si>
    <t>Mês</t>
  </si>
  <si>
    <t>Data</t>
  </si>
  <si>
    <t>Total investido</t>
  </si>
  <si>
    <t>Dividendos/mês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</si>
</sst>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R$&quot;\ #,##0.00"/>
  </numFmts>
  <fonts count="12">
    <font>
      <sz val="11"/>
      <color theme="1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b/>
      <sz val="28"/>
      <color rgb="FFFFFFFF"/>
      <name val="Aptos"/>
    </font>
    <font>
      <b/>
      <sz val="15"/>
      <color rgb="FF123B5D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  <font>
      <b/>
      <sz val="11"/>
      <color rgb="FF123B5D"/>
      <name val="Aptos"/>
    </font>
    <font>
      <sz val="11"/>
      <color rgb="FF64748B"/>
      <name val="Aptos"/>
    </font>
    <font>
      <i/>
      <sz val="11"/>
      <color rgb="FF64748B"/>
      <name val="Aptos"/>
    </font>
    <font>
      <b/>
      <sz val="13"/>
      <color rgb="FF123B5D"/>
      <name val="Aptos"/>
    </font>
    <font>
      <b/>
      <sz val="18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1F8A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3F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6" fillId="5" borderId="0" xfId="0" applyFont="1" applyFill="1"/>
    <xf numFmtId="1" fontId="7" fillId="4" borderId="0" xfId="0" applyNumberFormat="1" applyFont="1" applyFill="1"/>
    <xf numFmtId="10" fontId="7" fillId="4" borderId="0" xfId="0" applyNumberFormat="1" applyFont="1" applyFill="1"/>
    <xf numFmtId="10" fontId="10" fillId="6" borderId="0" xfId="0" applyNumberFormat="1" applyFont="1" applyFill="1"/>
    <xf numFmtId="0" fontId="5" fillId="3" borderId="0" xfId="0" applyFont="1" applyFill="1"/>
    <xf numFmtId="164" fontId="4" fillId="0" borderId="0" xfId="0" applyNumberFormat="1" applyFont="1"/>
    <xf numFmtId="165" fontId="7" fillId="4" borderId="0" xfId="0" applyNumberFormat="1" applyFont="1" applyFill="1"/>
    <xf numFmtId="165" fontId="10" fillId="6" borderId="0" xfId="0" applyNumberFormat="1" applyFont="1" applyFill="1"/>
    <xf numFmtId="165" fontId="4" fillId="0" borderId="0" xfId="0" applyNumberFormat="1" applyFont="1"/>
    <xf numFmtId="0" fontId="5" fillId="2" borderId="0" xfId="0" applyFont="1" applyFill="1"/>
    <xf numFmtId="0" fontId="4" fillId="7" borderId="0" xfId="0" applyFont="1" applyFill="1"/>
    <xf numFmtId="165" fontId="4" fillId="7" borderId="0" xfId="0" applyNumberFormat="1" applyFont="1" applyFill="1"/>
    <xf numFmtId="165" fontId="6" fillId="5" borderId="0" xfId="0" applyNumberFormat="1" applyFont="1" applyFill="1"/>
    <xf numFmtId="10" fontId="6" fillId="5" borderId="0" xfId="0" applyNumberFormat="1" applyFont="1" applyFill="1"/>
    <xf numFmtId="165" fontId="7" fillId="6" borderId="0" xfId="0" applyNumberFormat="1" applyFont="1" applyFill="1"/>
    <xf numFmtId="10" fontId="7" fillId="6" borderId="0" xfId="0" applyNumberFormat="1" applyFont="1" applyFill="1"/>
    <xf numFmtId="0" fontId="1" fillId="7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9" fillId="7" borderId="0" xfId="0" applyFont="1" applyFill="1" applyAlignment="1">
      <alignment wrapText="1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23B5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Evolução: aportes x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23B5D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Projeção!$D$3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5400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Projeção!$B$4:$B$484</c:f>
              <c:numCache>
                <c:formatCode>mmm\ yyyy</c:formatCode>
                <c:ptCount val="481"/>
                <c:pt idx="0">
                  <c:v>46292</c:v>
                </c:pt>
                <c:pt idx="1">
                  <c:v>46322</c:v>
                </c:pt>
                <c:pt idx="2">
                  <c:v>46353</c:v>
                </c:pt>
                <c:pt idx="3">
                  <c:v>46383</c:v>
                </c:pt>
                <c:pt idx="4">
                  <c:v>46414</c:v>
                </c:pt>
                <c:pt idx="5">
                  <c:v>46445</c:v>
                </c:pt>
                <c:pt idx="6">
                  <c:v>46473</c:v>
                </c:pt>
                <c:pt idx="7">
                  <c:v>46504</c:v>
                </c:pt>
                <c:pt idx="8">
                  <c:v>46534</c:v>
                </c:pt>
                <c:pt idx="9">
                  <c:v>46565</c:v>
                </c:pt>
                <c:pt idx="10">
                  <c:v>46595</c:v>
                </c:pt>
                <c:pt idx="11">
                  <c:v>46626</c:v>
                </c:pt>
                <c:pt idx="12">
                  <c:v>46657</c:v>
                </c:pt>
                <c:pt idx="13">
                  <c:v>46687</c:v>
                </c:pt>
                <c:pt idx="14">
                  <c:v>46718</c:v>
                </c:pt>
                <c:pt idx="15">
                  <c:v>46748</c:v>
                </c:pt>
                <c:pt idx="16">
                  <c:v>46779</c:v>
                </c:pt>
                <c:pt idx="17">
                  <c:v>46810</c:v>
                </c:pt>
                <c:pt idx="18">
                  <c:v>46839</c:v>
                </c:pt>
                <c:pt idx="19">
                  <c:v>46870</c:v>
                </c:pt>
                <c:pt idx="20">
                  <c:v>46900</c:v>
                </c:pt>
                <c:pt idx="21">
                  <c:v>46931</c:v>
                </c:pt>
                <c:pt idx="22">
                  <c:v>46961</c:v>
                </c:pt>
                <c:pt idx="23">
                  <c:v>46992</c:v>
                </c:pt>
                <c:pt idx="24">
                  <c:v>47023</c:v>
                </c:pt>
                <c:pt idx="25">
                  <c:v>47053</c:v>
                </c:pt>
                <c:pt idx="26">
                  <c:v>47084</c:v>
                </c:pt>
                <c:pt idx="27">
                  <c:v>47114</c:v>
                </c:pt>
                <c:pt idx="28">
                  <c:v>47145</c:v>
                </c:pt>
                <c:pt idx="29">
                  <c:v>47176</c:v>
                </c:pt>
                <c:pt idx="30">
                  <c:v>47204</c:v>
                </c:pt>
                <c:pt idx="31">
                  <c:v>47235</c:v>
                </c:pt>
                <c:pt idx="32">
                  <c:v>47265</c:v>
                </c:pt>
                <c:pt idx="33">
                  <c:v>47296</c:v>
                </c:pt>
                <c:pt idx="34">
                  <c:v>47326</c:v>
                </c:pt>
                <c:pt idx="35">
                  <c:v>47357</c:v>
                </c:pt>
                <c:pt idx="36">
                  <c:v>47388</c:v>
                </c:pt>
                <c:pt idx="37">
                  <c:v>47418</c:v>
                </c:pt>
                <c:pt idx="38">
                  <c:v>47449</c:v>
                </c:pt>
                <c:pt idx="39">
                  <c:v>47479</c:v>
                </c:pt>
                <c:pt idx="40">
                  <c:v>47510</c:v>
                </c:pt>
                <c:pt idx="41">
                  <c:v>47541</c:v>
                </c:pt>
                <c:pt idx="42">
                  <c:v>47569</c:v>
                </c:pt>
                <c:pt idx="43">
                  <c:v>47600</c:v>
                </c:pt>
                <c:pt idx="44">
                  <c:v>47630</c:v>
                </c:pt>
                <c:pt idx="45">
                  <c:v>47661</c:v>
                </c:pt>
                <c:pt idx="46">
                  <c:v>47691</c:v>
                </c:pt>
                <c:pt idx="47">
                  <c:v>47722</c:v>
                </c:pt>
                <c:pt idx="48">
                  <c:v>47753</c:v>
                </c:pt>
                <c:pt idx="49">
                  <c:v>47783</c:v>
                </c:pt>
                <c:pt idx="50">
                  <c:v>47814</c:v>
                </c:pt>
                <c:pt idx="51">
                  <c:v>47844</c:v>
                </c:pt>
                <c:pt idx="52">
                  <c:v>47875</c:v>
                </c:pt>
                <c:pt idx="53">
                  <c:v>47906</c:v>
                </c:pt>
                <c:pt idx="54">
                  <c:v>47934</c:v>
                </c:pt>
                <c:pt idx="55">
                  <c:v>47965</c:v>
                </c:pt>
                <c:pt idx="56">
                  <c:v>47995</c:v>
                </c:pt>
                <c:pt idx="57">
                  <c:v>48026</c:v>
                </c:pt>
                <c:pt idx="58">
                  <c:v>48056</c:v>
                </c:pt>
                <c:pt idx="59">
                  <c:v>48087</c:v>
                </c:pt>
                <c:pt idx="60">
                  <c:v>48118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</c:numCache>
            </c:numRef>
          </c:cat>
          <c:val>
            <c:numRef>
              <c:f>Projeção!$D$4:$D$484</c:f>
              <c:numCache>
                <c:formatCode>"R$"\ #,##0.00</c:formatCode>
                <c:ptCount val="481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  <c:pt idx="5">
                  <c:v>7500</c:v>
                </c:pt>
                <c:pt idx="6">
                  <c:v>8000</c:v>
                </c:pt>
                <c:pt idx="7">
                  <c:v>8500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10500</c:v>
                </c:pt>
                <c:pt idx="12">
                  <c:v>11000</c:v>
                </c:pt>
                <c:pt idx="13">
                  <c:v>11500</c:v>
                </c:pt>
                <c:pt idx="14">
                  <c:v>12000</c:v>
                </c:pt>
                <c:pt idx="15">
                  <c:v>12500</c:v>
                </c:pt>
                <c:pt idx="16">
                  <c:v>13000</c:v>
                </c:pt>
                <c:pt idx="17">
                  <c:v>13500</c:v>
                </c:pt>
                <c:pt idx="18">
                  <c:v>14000</c:v>
                </c:pt>
                <c:pt idx="19">
                  <c:v>14500</c:v>
                </c:pt>
                <c:pt idx="20">
                  <c:v>15000</c:v>
                </c:pt>
                <c:pt idx="21">
                  <c:v>15500</c:v>
                </c:pt>
                <c:pt idx="22">
                  <c:v>16000</c:v>
                </c:pt>
                <c:pt idx="23">
                  <c:v>16500</c:v>
                </c:pt>
                <c:pt idx="24">
                  <c:v>17000</c:v>
                </c:pt>
                <c:pt idx="25">
                  <c:v>17500</c:v>
                </c:pt>
                <c:pt idx="26">
                  <c:v>18000</c:v>
                </c:pt>
                <c:pt idx="27">
                  <c:v>18500</c:v>
                </c:pt>
                <c:pt idx="28">
                  <c:v>19000</c:v>
                </c:pt>
                <c:pt idx="29">
                  <c:v>19500</c:v>
                </c:pt>
                <c:pt idx="30">
                  <c:v>20000</c:v>
                </c:pt>
                <c:pt idx="31">
                  <c:v>20500</c:v>
                </c:pt>
                <c:pt idx="32">
                  <c:v>21000</c:v>
                </c:pt>
                <c:pt idx="33">
                  <c:v>21500</c:v>
                </c:pt>
                <c:pt idx="34">
                  <c:v>22000</c:v>
                </c:pt>
                <c:pt idx="35">
                  <c:v>22500</c:v>
                </c:pt>
                <c:pt idx="36">
                  <c:v>23000</c:v>
                </c:pt>
                <c:pt idx="37">
                  <c:v>23500</c:v>
                </c:pt>
                <c:pt idx="38">
                  <c:v>24000</c:v>
                </c:pt>
                <c:pt idx="39">
                  <c:v>24500</c:v>
                </c:pt>
                <c:pt idx="40">
                  <c:v>25000</c:v>
                </c:pt>
                <c:pt idx="41">
                  <c:v>25500</c:v>
                </c:pt>
                <c:pt idx="42">
                  <c:v>26000</c:v>
                </c:pt>
                <c:pt idx="43">
                  <c:v>26500</c:v>
                </c:pt>
                <c:pt idx="44">
                  <c:v>27000</c:v>
                </c:pt>
                <c:pt idx="45">
                  <c:v>27500</c:v>
                </c:pt>
                <c:pt idx="46">
                  <c:v>28000</c:v>
                </c:pt>
                <c:pt idx="47">
                  <c:v>28500</c:v>
                </c:pt>
                <c:pt idx="48">
                  <c:v>29000</c:v>
                </c:pt>
                <c:pt idx="49">
                  <c:v>29500</c:v>
                </c:pt>
                <c:pt idx="50">
                  <c:v>30000</c:v>
                </c:pt>
                <c:pt idx="51">
                  <c:v>30500</c:v>
                </c:pt>
                <c:pt idx="52">
                  <c:v>31000</c:v>
                </c:pt>
                <c:pt idx="53">
                  <c:v>31500</c:v>
                </c:pt>
                <c:pt idx="54">
                  <c:v>32000</c:v>
                </c:pt>
                <c:pt idx="55">
                  <c:v>32500</c:v>
                </c:pt>
                <c:pt idx="56">
                  <c:v>33000</c:v>
                </c:pt>
                <c:pt idx="57">
                  <c:v>33500</c:v>
                </c:pt>
                <c:pt idx="58">
                  <c:v>34000</c:v>
                </c:pt>
                <c:pt idx="59">
                  <c:v>34500</c:v>
                </c:pt>
                <c:pt idx="60">
                  <c:v>35000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4-429E-ADA7-A70CD74E111E}"/>
            </c:ext>
          </c:extLst>
        </c:ser>
        <c:ser>
          <c:idx val="1"/>
          <c:order val="1"/>
          <c:tx>
            <c:strRef>
              <c:f>Projeção!$E$3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ln w="38100" cap="rnd">
              <a:solidFill>
                <a:srgbClr val="1F8A7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Projeção!$B$4:$B$484</c:f>
              <c:numCache>
                <c:formatCode>mmm\ yyyy</c:formatCode>
                <c:ptCount val="481"/>
                <c:pt idx="0">
                  <c:v>46292</c:v>
                </c:pt>
                <c:pt idx="1">
                  <c:v>46322</c:v>
                </c:pt>
                <c:pt idx="2">
                  <c:v>46353</c:v>
                </c:pt>
                <c:pt idx="3">
                  <c:v>46383</c:v>
                </c:pt>
                <c:pt idx="4">
                  <c:v>46414</c:v>
                </c:pt>
                <c:pt idx="5">
                  <c:v>46445</c:v>
                </c:pt>
                <c:pt idx="6">
                  <c:v>46473</c:v>
                </c:pt>
                <c:pt idx="7">
                  <c:v>46504</c:v>
                </c:pt>
                <c:pt idx="8">
                  <c:v>46534</c:v>
                </c:pt>
                <c:pt idx="9">
                  <c:v>46565</c:v>
                </c:pt>
                <c:pt idx="10">
                  <c:v>46595</c:v>
                </c:pt>
                <c:pt idx="11">
                  <c:v>46626</c:v>
                </c:pt>
                <c:pt idx="12">
                  <c:v>46657</c:v>
                </c:pt>
                <c:pt idx="13">
                  <c:v>46687</c:v>
                </c:pt>
                <c:pt idx="14">
                  <c:v>46718</c:v>
                </c:pt>
                <c:pt idx="15">
                  <c:v>46748</c:v>
                </c:pt>
                <c:pt idx="16">
                  <c:v>46779</c:v>
                </c:pt>
                <c:pt idx="17">
                  <c:v>46810</c:v>
                </c:pt>
                <c:pt idx="18">
                  <c:v>46839</c:v>
                </c:pt>
                <c:pt idx="19">
                  <c:v>46870</c:v>
                </c:pt>
                <c:pt idx="20">
                  <c:v>46900</c:v>
                </c:pt>
                <c:pt idx="21">
                  <c:v>46931</c:v>
                </c:pt>
                <c:pt idx="22">
                  <c:v>46961</c:v>
                </c:pt>
                <c:pt idx="23">
                  <c:v>46992</c:v>
                </c:pt>
                <c:pt idx="24">
                  <c:v>47023</c:v>
                </c:pt>
                <c:pt idx="25">
                  <c:v>47053</c:v>
                </c:pt>
                <c:pt idx="26">
                  <c:v>47084</c:v>
                </c:pt>
                <c:pt idx="27">
                  <c:v>47114</c:v>
                </c:pt>
                <c:pt idx="28">
                  <c:v>47145</c:v>
                </c:pt>
                <c:pt idx="29">
                  <c:v>47176</c:v>
                </c:pt>
                <c:pt idx="30">
                  <c:v>47204</c:v>
                </c:pt>
                <c:pt idx="31">
                  <c:v>47235</c:v>
                </c:pt>
                <c:pt idx="32">
                  <c:v>47265</c:v>
                </c:pt>
                <c:pt idx="33">
                  <c:v>47296</c:v>
                </c:pt>
                <c:pt idx="34">
                  <c:v>47326</c:v>
                </c:pt>
                <c:pt idx="35">
                  <c:v>47357</c:v>
                </c:pt>
                <c:pt idx="36">
                  <c:v>47388</c:v>
                </c:pt>
                <c:pt idx="37">
                  <c:v>47418</c:v>
                </c:pt>
                <c:pt idx="38">
                  <c:v>47449</c:v>
                </c:pt>
                <c:pt idx="39">
                  <c:v>47479</c:v>
                </c:pt>
                <c:pt idx="40">
                  <c:v>47510</c:v>
                </c:pt>
                <c:pt idx="41">
                  <c:v>47541</c:v>
                </c:pt>
                <c:pt idx="42">
                  <c:v>47569</c:v>
                </c:pt>
                <c:pt idx="43">
                  <c:v>47600</c:v>
                </c:pt>
                <c:pt idx="44">
                  <c:v>47630</c:v>
                </c:pt>
                <c:pt idx="45">
                  <c:v>47661</c:v>
                </c:pt>
                <c:pt idx="46">
                  <c:v>47691</c:v>
                </c:pt>
                <c:pt idx="47">
                  <c:v>47722</c:v>
                </c:pt>
                <c:pt idx="48">
                  <c:v>47753</c:v>
                </c:pt>
                <c:pt idx="49">
                  <c:v>47783</c:v>
                </c:pt>
                <c:pt idx="50">
                  <c:v>47814</c:v>
                </c:pt>
                <c:pt idx="51">
                  <c:v>47844</c:v>
                </c:pt>
                <c:pt idx="52">
                  <c:v>47875</c:v>
                </c:pt>
                <c:pt idx="53">
                  <c:v>47906</c:v>
                </c:pt>
                <c:pt idx="54">
                  <c:v>47934</c:v>
                </c:pt>
                <c:pt idx="55">
                  <c:v>47965</c:v>
                </c:pt>
                <c:pt idx="56">
                  <c:v>47995</c:v>
                </c:pt>
                <c:pt idx="57">
                  <c:v>48026</c:v>
                </c:pt>
                <c:pt idx="58">
                  <c:v>48056</c:v>
                </c:pt>
                <c:pt idx="59">
                  <c:v>48087</c:v>
                </c:pt>
                <c:pt idx="60">
                  <c:v>48118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</c:numCache>
            </c:numRef>
          </c:cat>
          <c:val>
            <c:numRef>
              <c:f>Projeção!$E$4:$E$484</c:f>
              <c:numCache>
                <c:formatCode>"R$"\ #,##0.00</c:formatCode>
                <c:ptCount val="481"/>
                <c:pt idx="0">
                  <c:v>5000</c:v>
                </c:pt>
                <c:pt idx="1">
                  <c:v>5539.8707021445189</c:v>
                </c:pt>
                <c:pt idx="2">
                  <c:v>6084.0464090813894</c:v>
                </c:pt>
                <c:pt idx="3">
                  <c:v>6632.5614495233722</c:v>
                </c:pt>
                <c:pt idx="4">
                  <c:v>7185.4504259252053</c:v>
                </c:pt>
                <c:pt idx="5">
                  <c:v>7742.7482166664595</c:v>
                </c:pt>
                <c:pt idx="6">
                  <c:v>8304.4899782518023</c:v>
                </c:pt>
                <c:pt idx="7">
                  <c:v>8870.7111475288057</c:v>
                </c:pt>
                <c:pt idx="8">
                  <c:v>9441.4474439234418</c:v>
                </c:pt>
                <c:pt idx="9">
                  <c:v>10016.734871693401</c:v>
                </c:pt>
                <c:pt idx="10">
                  <c:v>10596.609722199382</c:v>
                </c:pt>
                <c:pt idx="11">
                  <c:v>11181.108576194487</c:v>
                </c:pt>
                <c:pt idx="12">
                  <c:v>11770.268306131882</c:v>
                </c:pt>
                <c:pt idx="13">
                  <c:v>12364.126078490854</c:v>
                </c:pt>
                <c:pt idx="14">
                  <c:v>12962.719356121412</c:v>
                </c:pt>
                <c:pt idx="15">
                  <c:v>13566.085900607593</c:v>
                </c:pt>
                <c:pt idx="16">
                  <c:v>14174.263774649609</c:v>
                </c:pt>
                <c:pt idx="17">
                  <c:v>14787.291344464989</c:v>
                </c:pt>
                <c:pt idx="18">
                  <c:v>15405.207282208867</c:v>
                </c:pt>
                <c:pt idx="19">
                  <c:v>16028.050568413571</c:v>
                </c:pt>
                <c:pt idx="20">
                  <c:v>16655.860494447672</c:v>
                </c:pt>
                <c:pt idx="21">
                  <c:v>17288.676664994629</c:v>
                </c:pt>
                <c:pt idx="22">
                  <c:v>17926.539000551209</c:v>
                </c:pt>
                <c:pt idx="23">
                  <c:v>18569.487739945824</c:v>
                </c:pt>
                <c:pt idx="24">
                  <c:v>19217.563442876959</c:v>
                </c:pt>
                <c:pt idx="25">
                  <c:v>19870.806992471826</c:v>
                </c:pt>
                <c:pt idx="26">
                  <c:v>20529.259597865439</c:v>
                </c:pt>
                <c:pt idx="27">
                  <c:v>21192.962796800239</c:v>
                </c:pt>
                <c:pt idx="28">
                  <c:v>21861.958458246456</c:v>
                </c:pt>
                <c:pt idx="29">
                  <c:v>22536.288785043373</c:v>
                </c:pt>
                <c:pt idx="30">
                  <c:v>23215.996316561639</c:v>
                </c:pt>
                <c:pt idx="31">
                  <c:v>23901.123931386814</c:v>
                </c:pt>
                <c:pt idx="32">
                  <c:v>24591.714850024324</c:v>
                </c:pt>
                <c:pt idx="33">
                  <c:v>25287.812637625975</c:v>
                </c:pt>
                <c:pt idx="34">
                  <c:v>25989.461206738211</c:v>
                </c:pt>
                <c:pt idx="35">
                  <c:v>26696.704820072289</c:v>
                </c:pt>
                <c:pt idx="36">
                  <c:v>27409.588093296537</c:v>
                </c:pt>
                <c:pt idx="37">
                  <c:v>28128.155997850892</c:v>
                </c:pt>
                <c:pt idx="38">
                  <c:v>28852.453863783867</c:v>
                </c:pt>
                <c:pt idx="39">
                  <c:v>29582.527382612145</c:v>
                </c:pt>
                <c:pt idx="40">
                  <c:v>30318.422610202986</c:v>
                </c:pt>
                <c:pt idx="41">
                  <c:v>31060.185969679595</c:v>
                </c:pt>
                <c:pt idx="42">
                  <c:v>31807.864254349686</c:v>
                </c:pt>
                <c:pt idx="43">
                  <c:v>32561.504630657379</c:v>
                </c:pt>
                <c:pt idx="44">
                  <c:v>33321.154641158639</c:v>
                </c:pt>
                <c:pt idx="45">
                  <c:v>34086.862207520455</c:v>
                </c:pt>
                <c:pt idx="46">
                  <c:v>34858.675633543913</c:v>
                </c:pt>
                <c:pt idx="47">
                  <c:v>35636.643608211401</c:v>
                </c:pt>
                <c:pt idx="48">
                  <c:v>36420.815208758075</c:v>
                </c:pt>
                <c:pt idx="49">
                  <c:v>37211.239903767862</c:v>
                </c:pt>
                <c:pt idx="50">
                  <c:v>38007.967556294134</c:v>
                </c:pt>
                <c:pt idx="51">
                  <c:v>38811.04842700524</c:v>
                </c:pt>
                <c:pt idx="52">
                  <c:v>39620.533177355166</c:v>
                </c:pt>
                <c:pt idx="53">
                  <c:v>40436.472872779435</c:v>
                </c:pt>
                <c:pt idx="54">
                  <c:v>41258.918985916534</c:v>
                </c:pt>
                <c:pt idx="55">
                  <c:v>42087.923399854997</c:v>
                </c:pt>
                <c:pt idx="56">
                  <c:v>42923.538411406385</c:v>
                </c:pt>
                <c:pt idx="57">
                  <c:v>43765.816734404383</c:v>
                </c:pt>
                <c:pt idx="58">
                  <c:v>44614.811503030192</c:v>
                </c:pt>
                <c:pt idx="59">
                  <c:v>45470.576275164429</c:v>
                </c:pt>
                <c:pt idx="60">
                  <c:v>46333.165035765771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E4-429E-ADA7-A70CD74E1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003695"/>
        <c:axId val="1988912975"/>
      </c:lineChart>
      <c:dateAx>
        <c:axId val="1183003695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12975"/>
        <c:crosses val="autoZero"/>
        <c:auto val="0"/>
        <c:lblOffset val="100"/>
        <c:baseTimeUnit val="months"/>
        <c:majorUnit val="2"/>
        <c:majorTimeUnit val="years"/>
      </c:dateAx>
      <c:valAx>
        <c:axId val="19889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 acumulado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00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Valor investido x rendimentos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Simulador!$G$37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76-4509-A277-510520BEE31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76-4509-A277-510520BEE31E}"/>
              </c:ext>
            </c:extLst>
          </c:dPt>
          <c:dLbls>
            <c:numFmt formatCode="&quot;R$&quot;\ #.##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Simulador!$F$38:$F$39</c:f>
              <c:strCache>
                <c:ptCount val="2"/>
                <c:pt idx="0">
                  <c:v>Valor investido</c:v>
                </c:pt>
                <c:pt idx="1">
                  <c:v>Rendimentos</c:v>
                </c:pt>
              </c:strCache>
            </c:strRef>
          </c:cat>
          <c:val>
            <c:numRef>
              <c:f>Simulador!$G$38:$G$39</c:f>
              <c:numCache>
                <c:formatCode>"R$"\ #,##0.00</c:formatCode>
                <c:ptCount val="2"/>
                <c:pt idx="0">
                  <c:v>35000</c:v>
                </c:pt>
                <c:pt idx="1">
                  <c:v>11333.165035765771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E-47C8-9494-4EDE3202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3" name="Evolução do Patrimônio">
          <a:extLst>
            <a:ext uri="{FF2B5EF4-FFF2-40B4-BE49-F238E27FC236}">
              <a16:creationId xmlns:a16="http://schemas.microsoft.com/office/drawing/2014/main" id="{2F9CD5ED-0483-EDC7-CE6A-3758C62E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815340</xdr:colOff>
      <xdr:row>39</xdr:row>
      <xdr:rowOff>144780</xdr:rowOff>
    </xdr:from>
    <xdr:to>
      <xdr:col>8</xdr:col>
      <xdr:colOff>297180</xdr:colOff>
      <xdr:row>54</xdr:row>
      <xdr:rowOff>83820</xdr:rowOff>
    </xdr:to>
    <xdr:graphicFrame macro="">
      <xdr:nvGraphicFramePr>
        <xdr:cNvPr id="6" name="Investido x Rendimentos">
          <a:extLst>
            <a:ext uri="{FF2B5EF4-FFF2-40B4-BE49-F238E27FC236}">
              <a16:creationId xmlns:a16="http://schemas.microsoft.com/office/drawing/2014/main" id="{5264485E-A817-78BC-5BDF-FD44C040B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0289-B6A0-4C2F-9751-A50CBCEE9053}">
  <dimension ref="A1:H44"/>
  <sheetViews>
    <sheetView showGridLines="0" tabSelected="1" workbookViewId="0">
      <selection activeCell="B40" sqref="B40"/>
    </sheetView>
  </sheetViews>
  <sheetFormatPr defaultRowHeight="14.45"/>
  <cols>
    <col min="1" max="1" width="29.7109375" customWidth="1"/>
    <col min="2" max="3" width="18.5703125" customWidth="1"/>
    <col min="4" max="4" width="30.5703125" customWidth="1"/>
    <col min="5" max="5" width="17.28515625" customWidth="1"/>
    <col min="6" max="6" width="26.85546875" customWidth="1"/>
    <col min="7" max="7" width="22.28515625" customWidth="1"/>
    <col min="8" max="8" width="10.28515625" customWidth="1"/>
  </cols>
  <sheetData>
    <row r="1" spans="1:8" ht="28.1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22.15" customHeight="1">
      <c r="A2" s="22"/>
      <c r="B2" s="22"/>
      <c r="C2" s="22"/>
      <c r="D2" s="22"/>
      <c r="E2" s="22"/>
      <c r="F2" s="22"/>
      <c r="G2" s="22"/>
      <c r="H2" s="22"/>
    </row>
    <row r="3" spans="1:8" ht="22.15" customHeight="1">
      <c r="A3" s="22"/>
      <c r="B3" s="22"/>
      <c r="C3" s="22"/>
      <c r="D3" s="22"/>
      <c r="E3" s="22"/>
      <c r="F3" s="22"/>
      <c r="G3" s="22"/>
      <c r="H3" s="22"/>
    </row>
    <row r="4" spans="1:8" ht="25.15" customHeight="1">
      <c r="A4" s="23" t="s">
        <v>1</v>
      </c>
      <c r="B4" s="23"/>
      <c r="C4" s="23"/>
      <c r="D4" s="23"/>
      <c r="E4" s="23"/>
      <c r="F4" s="23"/>
      <c r="G4" s="23"/>
      <c r="H4" s="23"/>
    </row>
    <row r="5" spans="1:8">
      <c r="A5" s="1"/>
      <c r="B5" s="1"/>
      <c r="C5" s="1"/>
      <c r="D5" s="1"/>
      <c r="E5" s="1"/>
      <c r="F5" s="1"/>
      <c r="G5" s="1"/>
      <c r="H5" s="1"/>
    </row>
    <row r="6" spans="1:8" ht="22.9" customHeight="1">
      <c r="A6" s="24" t="s">
        <v>2</v>
      </c>
      <c r="B6" s="24"/>
      <c r="C6" s="24"/>
      <c r="D6" s="24"/>
      <c r="E6" s="1"/>
      <c r="F6" s="24" t="s">
        <v>3</v>
      </c>
      <c r="G6" s="24"/>
      <c r="H6" s="24"/>
    </row>
    <row r="7" spans="1:8" ht="17.45">
      <c r="A7" s="2" t="s">
        <v>4</v>
      </c>
      <c r="B7" s="19">
        <f>B42</f>
        <v>500</v>
      </c>
      <c r="C7" s="3">
        <v>200</v>
      </c>
      <c r="D7" s="4" t="s">
        <v>5</v>
      </c>
      <c r="E7" s="1"/>
      <c r="F7" s="5" t="s">
        <v>6</v>
      </c>
      <c r="G7" s="12" cm="1">
        <f t="array" ref="G7">INDEX(Projeção!D4:D484,B9*12+1)</f>
        <v>35000</v>
      </c>
      <c r="H7" s="1"/>
    </row>
    <row r="8" spans="1:8" ht="17.45">
      <c r="A8" s="2" t="s">
        <v>7</v>
      </c>
      <c r="B8" s="11">
        <v>5000</v>
      </c>
      <c r="C8" s="3">
        <v>200</v>
      </c>
      <c r="D8" s="4" t="s">
        <v>8</v>
      </c>
      <c r="E8" s="1"/>
      <c r="F8" s="5" t="s">
        <v>9</v>
      </c>
      <c r="G8" s="12" cm="1">
        <f t="array" ref="G8">INDEX(Projeção!E4:E484,B9*12+1)</f>
        <v>46333.165035765771</v>
      </c>
      <c r="H8" s="1"/>
    </row>
    <row r="9" spans="1:8" ht="17.45">
      <c r="A9" s="2" t="s">
        <v>10</v>
      </c>
      <c r="B9" s="6">
        <v>5</v>
      </c>
      <c r="C9" s="3" t="s">
        <v>11</v>
      </c>
      <c r="D9" s="4" t="s">
        <v>12</v>
      </c>
      <c r="E9" s="1"/>
      <c r="F9" s="5" t="s">
        <v>13</v>
      </c>
      <c r="G9" s="12">
        <f>G8-G7</f>
        <v>11333.165035765771</v>
      </c>
      <c r="H9" s="1"/>
    </row>
    <row r="10" spans="1:8" ht="17.45">
      <c r="A10" s="2" t="s">
        <v>14</v>
      </c>
      <c r="B10" s="7">
        <v>0.1</v>
      </c>
      <c r="C10" s="3" t="s">
        <v>15</v>
      </c>
      <c r="D10" s="4" t="s">
        <v>16</v>
      </c>
      <c r="E10" s="1"/>
      <c r="F10" s="5" t="s">
        <v>17</v>
      </c>
      <c r="G10" s="12">
        <f>G8*B11/12</f>
        <v>397.69299989032288</v>
      </c>
      <c r="H10" s="1"/>
    </row>
    <row r="11" spans="1:8" ht="17.45">
      <c r="A11" s="2" t="s">
        <v>18</v>
      </c>
      <c r="B11" s="20">
        <f>C42</f>
        <v>0.10299999999999999</v>
      </c>
      <c r="C11" s="3" t="s">
        <v>15</v>
      </c>
      <c r="D11" s="4" t="s">
        <v>19</v>
      </c>
      <c r="E11" s="1"/>
      <c r="F11" s="5" t="s">
        <v>20</v>
      </c>
      <c r="G11" s="8">
        <f>IFERROR(G9/G7,0)</f>
        <v>0.32380471530759347</v>
      </c>
      <c r="H11" s="1"/>
    </row>
    <row r="12" spans="1:8" ht="17.45">
      <c r="A12" s="2" t="s">
        <v>21</v>
      </c>
      <c r="B12" s="7">
        <v>0</v>
      </c>
      <c r="C12" s="3" t="s">
        <v>15</v>
      </c>
      <c r="D12" s="4" t="s">
        <v>22</v>
      </c>
      <c r="E12" s="1"/>
      <c r="F12" s="5" t="s">
        <v>23</v>
      </c>
      <c r="G12" s="8">
        <f>(1+B10)^(1/12)-1</f>
        <v>7.9741404289037643E-3</v>
      </c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31.9" customHeight="1">
      <c r="A14" s="1"/>
      <c r="B14" s="1"/>
      <c r="C14" s="1"/>
      <c r="D14" s="1"/>
      <c r="E14" s="1"/>
      <c r="F14" s="25" t="s">
        <v>24</v>
      </c>
      <c r="G14" s="25"/>
      <c r="H14" s="25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24" t="s">
        <v>25</v>
      </c>
      <c r="B36" s="24"/>
      <c r="C36" s="24"/>
      <c r="D36" s="24"/>
      <c r="E36" s="1"/>
      <c r="F36" s="24" t="s">
        <v>26</v>
      </c>
      <c r="G36" s="24"/>
    </row>
    <row r="37" spans="1:8">
      <c r="A37" s="14" t="s">
        <v>27</v>
      </c>
      <c r="B37" s="14" t="s">
        <v>28</v>
      </c>
      <c r="C37" s="14" t="s">
        <v>29</v>
      </c>
      <c r="D37" s="14" t="s">
        <v>30</v>
      </c>
      <c r="E37" s="1"/>
      <c r="F37" s="14" t="s">
        <v>31</v>
      </c>
      <c r="G37" s="14" t="s">
        <v>32</v>
      </c>
    </row>
    <row r="38" spans="1:8">
      <c r="A38" s="1" t="s">
        <v>33</v>
      </c>
      <c r="B38" s="11">
        <v>200</v>
      </c>
      <c r="C38" s="7">
        <v>0.12</v>
      </c>
      <c r="D38" s="13">
        <f>IFERROR($G$8*(B38/$B$42)*C38/12,0)</f>
        <v>185.33266014306307</v>
      </c>
      <c r="E38" s="1"/>
      <c r="F38" s="15" t="s">
        <v>34</v>
      </c>
      <c r="G38" s="16">
        <f>G7</f>
        <v>35000</v>
      </c>
    </row>
    <row r="39" spans="1:8">
      <c r="A39" s="1" t="s">
        <v>35</v>
      </c>
      <c r="B39" s="11">
        <v>150</v>
      </c>
      <c r="C39" s="7">
        <v>0.09</v>
      </c>
      <c r="D39" s="13">
        <f t="shared" ref="D39:D41" si="0">IFERROR($G$8*(B39/$B$42)*C39/12,0)</f>
        <v>104.24962133047298</v>
      </c>
      <c r="E39" s="1"/>
      <c r="F39" s="15" t="s">
        <v>36</v>
      </c>
      <c r="G39" s="16">
        <f>G9</f>
        <v>11333.165035765771</v>
      </c>
    </row>
    <row r="40" spans="1:8">
      <c r="A40" s="1" t="s">
        <v>37</v>
      </c>
      <c r="B40" s="11">
        <v>100</v>
      </c>
      <c r="C40" s="7">
        <v>0.1</v>
      </c>
      <c r="D40" s="13">
        <f t="shared" si="0"/>
        <v>77.221941726276285</v>
      </c>
      <c r="E40" s="1"/>
      <c r="F40" s="1"/>
      <c r="G40" s="1"/>
    </row>
    <row r="41" spans="1:8">
      <c r="A41" s="1" t="s">
        <v>38</v>
      </c>
      <c r="B41" s="11">
        <v>50</v>
      </c>
      <c r="C41" s="7">
        <v>0.08</v>
      </c>
      <c r="D41" s="13">
        <f t="shared" si="0"/>
        <v>30.888776690510511</v>
      </c>
      <c r="E41" s="1"/>
      <c r="F41" s="1"/>
      <c r="G41" s="1"/>
    </row>
    <row r="42" spans="1:8">
      <c r="A42" s="5" t="s">
        <v>39</v>
      </c>
      <c r="B42" s="17">
        <f>SUM(B38:B41)</f>
        <v>500</v>
      </c>
      <c r="C42" s="18">
        <f>IFERROR(SUMPRODUCT(B38:B41,C38:C41)/B42,0)</f>
        <v>0.10299999999999999</v>
      </c>
      <c r="D42" s="17">
        <f>SUM(D38:D41)</f>
        <v>397.69299989032282</v>
      </c>
      <c r="E42" s="1"/>
      <c r="F42" s="1"/>
      <c r="G42" s="1"/>
    </row>
    <row r="44" spans="1:8" ht="31.9" customHeight="1">
      <c r="A44" s="21" t="s">
        <v>40</v>
      </c>
      <c r="B44" s="21"/>
      <c r="C44" s="21"/>
      <c r="D44" s="21"/>
    </row>
  </sheetData>
  <mergeCells count="8">
    <mergeCell ref="A44:D44"/>
    <mergeCell ref="A1:H3"/>
    <mergeCell ref="A4:H4"/>
    <mergeCell ref="A6:D6"/>
    <mergeCell ref="F6:H6"/>
    <mergeCell ref="F14:H14"/>
    <mergeCell ref="A36:D36"/>
    <mergeCell ref="F36:G36"/>
  </mergeCells>
  <dataValidations count="3">
    <dataValidation type="whole" allowBlank="1" showInputMessage="1" showErrorMessage="1" promptTitle="Prazo" prompt="Informe um prazo entre 1 e 40 anos." sqref="B9" xr:uid="{124CC357-5936-476A-A90F-EEBE00E74738}">
      <formula1>1</formula1>
      <formula2>40</formula2>
    </dataValidation>
    <dataValidation type="decimal" allowBlank="1" showInputMessage="1" showErrorMessage="1" sqref="B10:B12 C38:C41" xr:uid="{BC801308-35CA-4FF6-9A9C-EDDCEDAC39F2}">
      <formula1>0</formula1>
      <formula2>1</formula2>
    </dataValidation>
    <dataValidation type="decimal" operator="greaterThanOrEqual" allowBlank="1" showInputMessage="1" showErrorMessage="1" sqref="B38:B41" xr:uid="{0EFBC774-AAE9-408B-BC5B-E9CFF94918BB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BAFB-D6F8-4056-AA9B-9F70F2CB77FF}">
  <dimension ref="A1:F484"/>
  <sheetViews>
    <sheetView workbookViewId="0">
      <pane ySplit="3" topLeftCell="A11" activePane="bottomLeft" state="frozen"/>
      <selection pane="bottomLeft" sqref="A1:H3"/>
    </sheetView>
  </sheetViews>
  <sheetFormatPr defaultRowHeight="14.45"/>
  <cols>
    <col min="1" max="1" width="10.28515625" customWidth="1"/>
    <col min="2" max="2" width="14.7109375" customWidth="1"/>
    <col min="3" max="6" width="21.28515625" customWidth="1"/>
  </cols>
  <sheetData>
    <row r="1" spans="1:6" ht="23.45">
      <c r="A1" s="26" t="s">
        <v>41</v>
      </c>
      <c r="B1" s="26"/>
      <c r="C1" s="26"/>
      <c r="D1" s="26"/>
      <c r="E1" s="26"/>
      <c r="F1" s="26"/>
    </row>
    <row r="3" spans="1:6">
      <c r="A3" s="9" t="s">
        <v>42</v>
      </c>
      <c r="B3" s="9" t="s">
        <v>43</v>
      </c>
      <c r="C3" s="9" t="s">
        <v>28</v>
      </c>
      <c r="D3" s="9" t="s">
        <v>44</v>
      </c>
      <c r="E3" s="9" t="s">
        <v>9</v>
      </c>
      <c r="F3" s="9" t="s">
        <v>45</v>
      </c>
    </row>
    <row r="4" spans="1:6" ht="18" customHeight="1">
      <c r="A4" s="1">
        <v>0</v>
      </c>
      <c r="B4" s="10">
        <f ca="1">TODAY()</f>
        <v>46292</v>
      </c>
      <c r="C4" s="13">
        <v>0</v>
      </c>
      <c r="D4" s="13">
        <f>Simulador!B8</f>
        <v>5000</v>
      </c>
      <c r="E4" s="13">
        <f>Simulador!B8</f>
        <v>5000</v>
      </c>
      <c r="F4" s="13">
        <f>E4*Simulador!B11/12</f>
        <v>42.916666666666664</v>
      </c>
    </row>
    <row r="5" spans="1:6" ht="18" customHeight="1">
      <c r="A5" s="1">
        <f>IF(ROW()-4&lt;=Simulador!$B$9*12,ROW()-4,NA())</f>
        <v>1</v>
      </c>
      <c r="B5" s="10">
        <f ca="1">IFERROR(EDATE($B$4,A5),NA())</f>
        <v>46322</v>
      </c>
      <c r="C5" s="13">
        <f>IFERROR(Simulador!$B$7*(1+Simulador!$B$12)^INT((A5-1)/12),NA())</f>
        <v>500</v>
      </c>
      <c r="D5" s="13">
        <f>IFERROR(D4+C5,NA())</f>
        <v>5500</v>
      </c>
      <c r="E5" s="13">
        <f>IFERROR(E4*(1+Simulador!$G$12)+C5,NA())</f>
        <v>5539.8707021445189</v>
      </c>
      <c r="F5" s="13">
        <f>IFERROR(E5*Simulador!$B$11/12,NA())</f>
        <v>47.550556860073783</v>
      </c>
    </row>
    <row r="6" spans="1:6" ht="18" customHeight="1">
      <c r="A6" s="1">
        <f>IF(ROW()-4&lt;=Simulador!$B$9*12,ROW()-4,NA())</f>
        <v>2</v>
      </c>
      <c r="B6" s="10">
        <f t="shared" ref="B6:B69" ca="1" si="0">IFERROR(EDATE($B$4,A6),NA())</f>
        <v>46353</v>
      </c>
      <c r="C6" s="13">
        <f>IFERROR(Simulador!$B$7*(1+Simulador!$B$12)^INT((A6-1)/12),NA())</f>
        <v>500</v>
      </c>
      <c r="D6" s="13">
        <f t="shared" ref="D6:D69" si="1">IFERROR(D5+C6,NA())</f>
        <v>6000</v>
      </c>
      <c r="E6" s="13">
        <f>IFERROR(E5*(1+Simulador!$G$12)+C6,NA())</f>
        <v>6084.0464090813894</v>
      </c>
      <c r="F6" s="13">
        <f>IFERROR(E6*Simulador!$B$11/12,NA())</f>
        <v>52.22139834461526</v>
      </c>
    </row>
    <row r="7" spans="1:6" ht="18" customHeight="1">
      <c r="A7" s="1">
        <f>IF(ROW()-4&lt;=Simulador!$B$9*12,ROW()-4,NA())</f>
        <v>3</v>
      </c>
      <c r="B7" s="10">
        <f t="shared" ca="1" si="0"/>
        <v>46383</v>
      </c>
      <c r="C7" s="13">
        <f>IFERROR(Simulador!$B$7*(1+Simulador!$B$12)^INT((A7-1)/12),NA())</f>
        <v>500</v>
      </c>
      <c r="D7" s="13">
        <f t="shared" si="1"/>
        <v>6500</v>
      </c>
      <c r="E7" s="13">
        <f>IFERROR(E6*(1+Simulador!$G$12)+C7,NA())</f>
        <v>6632.5614495233722</v>
      </c>
      <c r="F7" s="13">
        <f>IFERROR(E7*Simulador!$B$11/12,NA())</f>
        <v>56.929485775075612</v>
      </c>
    </row>
    <row r="8" spans="1:6" ht="18" customHeight="1">
      <c r="A8" s="1">
        <f>IF(ROW()-4&lt;=Simulador!$B$9*12,ROW()-4,NA())</f>
        <v>4</v>
      </c>
      <c r="B8" s="10">
        <f t="shared" ca="1" si="0"/>
        <v>46414</v>
      </c>
      <c r="C8" s="13">
        <f>IFERROR(Simulador!$B$7*(1+Simulador!$B$12)^INT((A8-1)/12),NA())</f>
        <v>500</v>
      </c>
      <c r="D8" s="13">
        <f t="shared" si="1"/>
        <v>7000</v>
      </c>
      <c r="E8" s="13">
        <f>IFERROR(E7*(1+Simulador!$G$12)+C8,NA())</f>
        <v>7185.4504259252053</v>
      </c>
      <c r="F8" s="13">
        <f>IFERROR(E8*Simulador!$B$11/12,NA())</f>
        <v>61.675116155858007</v>
      </c>
    </row>
    <row r="9" spans="1:6" ht="18" customHeight="1">
      <c r="A9" s="1">
        <f>IF(ROW()-4&lt;=Simulador!$B$9*12,ROW()-4,NA())</f>
        <v>5</v>
      </c>
      <c r="B9" s="10">
        <f t="shared" ca="1" si="0"/>
        <v>46445</v>
      </c>
      <c r="C9" s="13">
        <f>IFERROR(Simulador!$B$7*(1+Simulador!$B$12)^INT((A9-1)/12),NA())</f>
        <v>500</v>
      </c>
      <c r="D9" s="13">
        <f t="shared" si="1"/>
        <v>7500</v>
      </c>
      <c r="E9" s="13">
        <f>IFERROR(E8*(1+Simulador!$G$12)+C9,NA())</f>
        <v>7742.7482166664595</v>
      </c>
      <c r="F9" s="13">
        <f>IFERROR(E9*Simulador!$B$11/12,NA())</f>
        <v>66.458588859720436</v>
      </c>
    </row>
    <row r="10" spans="1:6" ht="18" customHeight="1">
      <c r="A10" s="1">
        <f>IF(ROW()-4&lt;=Simulador!$B$9*12,ROW()-4,NA())</f>
        <v>6</v>
      </c>
      <c r="B10" s="10">
        <f t="shared" ca="1" si="0"/>
        <v>46473</v>
      </c>
      <c r="C10" s="13">
        <f>IFERROR(Simulador!$B$7*(1+Simulador!$B$12)^INT((A10-1)/12),NA())</f>
        <v>500</v>
      </c>
      <c r="D10" s="13">
        <f t="shared" si="1"/>
        <v>8000</v>
      </c>
      <c r="E10" s="13">
        <f>IFERROR(E9*(1+Simulador!$G$12)+C10,NA())</f>
        <v>8304.4899782518023</v>
      </c>
      <c r="F10" s="13">
        <f>IFERROR(E10*Simulador!$B$11/12,NA())</f>
        <v>71.280205646661301</v>
      </c>
    </row>
    <row r="11" spans="1:6" ht="18" customHeight="1">
      <c r="A11" s="1">
        <f>IF(ROW()-4&lt;=Simulador!$B$9*12,ROW()-4,NA())</f>
        <v>7</v>
      </c>
      <c r="B11" s="10">
        <f t="shared" ca="1" si="0"/>
        <v>46504</v>
      </c>
      <c r="C11" s="13">
        <f>IFERROR(Simulador!$B$7*(1+Simulador!$B$12)^INT((A11-1)/12),NA())</f>
        <v>500</v>
      </c>
      <c r="D11" s="13">
        <f t="shared" si="1"/>
        <v>8500</v>
      </c>
      <c r="E11" s="13">
        <f>IFERROR(E10*(1+Simulador!$G$12)+C11,NA())</f>
        <v>8870.7111475288057</v>
      </c>
      <c r="F11" s="13">
        <f>IFERROR(E11*Simulador!$B$11/12,NA())</f>
        <v>76.140270682955574</v>
      </c>
    </row>
    <row r="12" spans="1:6" ht="18" customHeight="1">
      <c r="A12" s="1">
        <f>IF(ROW()-4&lt;=Simulador!$B$9*12,ROW()-4,NA())</f>
        <v>8</v>
      </c>
      <c r="B12" s="10">
        <f t="shared" ca="1" si="0"/>
        <v>46534</v>
      </c>
      <c r="C12" s="13">
        <f>IFERROR(Simulador!$B$7*(1+Simulador!$B$12)^INT((A12-1)/12),NA())</f>
        <v>500</v>
      </c>
      <c r="D12" s="13">
        <f t="shared" si="1"/>
        <v>9000</v>
      </c>
      <c r="E12" s="13">
        <f>IFERROR(E11*(1+Simulador!$G$12)+C12,NA())</f>
        <v>9441.4474439234418</v>
      </c>
      <c r="F12" s="13">
        <f>IFERROR(E12*Simulador!$B$11/12,NA())</f>
        <v>81.039090560342871</v>
      </c>
    </row>
    <row r="13" spans="1:6" ht="18" customHeight="1">
      <c r="A13" s="1">
        <f>IF(ROW()-4&lt;=Simulador!$B$9*12,ROW()-4,NA())</f>
        <v>9</v>
      </c>
      <c r="B13" s="10">
        <f t="shared" ca="1" si="0"/>
        <v>46565</v>
      </c>
      <c r="C13" s="13">
        <f>IFERROR(Simulador!$B$7*(1+Simulador!$B$12)^INT((A13-1)/12),NA())</f>
        <v>500</v>
      </c>
      <c r="D13" s="13">
        <f t="shared" si="1"/>
        <v>9500</v>
      </c>
      <c r="E13" s="13">
        <f>IFERROR(E12*(1+Simulador!$G$12)+C13,NA())</f>
        <v>10016.734871693401</v>
      </c>
      <c r="F13" s="13">
        <f>IFERROR(E13*Simulador!$B$11/12,NA())</f>
        <v>85.976974315368352</v>
      </c>
    </row>
    <row r="14" spans="1:6" ht="18" customHeight="1">
      <c r="A14" s="1">
        <f>IF(ROW()-4&lt;=Simulador!$B$9*12,ROW()-4,NA())</f>
        <v>10</v>
      </c>
      <c r="B14" s="10">
        <f t="shared" ca="1" si="0"/>
        <v>46595</v>
      </c>
      <c r="C14" s="13">
        <f>IFERROR(Simulador!$B$7*(1+Simulador!$B$12)^INT((A14-1)/12),NA())</f>
        <v>500</v>
      </c>
      <c r="D14" s="13">
        <f t="shared" si="1"/>
        <v>10000</v>
      </c>
      <c r="E14" s="13">
        <f>IFERROR(E13*(1+Simulador!$G$12)+C14,NA())</f>
        <v>10596.609722199382</v>
      </c>
      <c r="F14" s="13">
        <f>IFERROR(E14*Simulador!$B$11/12,NA())</f>
        <v>90.954233448878028</v>
      </c>
    </row>
    <row r="15" spans="1:6" ht="18" customHeight="1">
      <c r="A15" s="1">
        <f>IF(ROW()-4&lt;=Simulador!$B$9*12,ROW()-4,NA())</f>
        <v>11</v>
      </c>
      <c r="B15" s="10">
        <f t="shared" ca="1" si="0"/>
        <v>46626</v>
      </c>
      <c r="C15" s="13">
        <f>IFERROR(Simulador!$B$7*(1+Simulador!$B$12)^INT((A15-1)/12),NA())</f>
        <v>500</v>
      </c>
      <c r="D15" s="13">
        <f t="shared" si="1"/>
        <v>10500</v>
      </c>
      <c r="E15" s="13">
        <f>IFERROR(E14*(1+Simulador!$G$12)+C15,NA())</f>
        <v>11181.108576194487</v>
      </c>
      <c r="F15" s="13">
        <f>IFERROR(E15*Simulador!$B$11/12,NA())</f>
        <v>95.971181945669343</v>
      </c>
    </row>
    <row r="16" spans="1:6" ht="18" customHeight="1">
      <c r="A16" s="1">
        <f>IF(ROW()-4&lt;=Simulador!$B$9*12,ROW()-4,NA())</f>
        <v>12</v>
      </c>
      <c r="B16" s="10">
        <f t="shared" ca="1" si="0"/>
        <v>46657</v>
      </c>
      <c r="C16" s="13">
        <f>IFERROR(Simulador!$B$7*(1+Simulador!$B$12)^INT((A16-1)/12),NA())</f>
        <v>500</v>
      </c>
      <c r="D16" s="13">
        <f t="shared" si="1"/>
        <v>11000</v>
      </c>
      <c r="E16" s="13">
        <f>IFERROR(E15*(1+Simulador!$G$12)+C16,NA())</f>
        <v>11770.268306131882</v>
      </c>
      <c r="F16" s="13">
        <f>IFERROR(E16*Simulador!$B$11/12,NA())</f>
        <v>101.02813629429865</v>
      </c>
    </row>
    <row r="17" spans="1:6" ht="18" customHeight="1">
      <c r="A17" s="1">
        <f>IF(ROW()-4&lt;=Simulador!$B$9*12,ROW()-4,NA())</f>
        <v>13</v>
      </c>
      <c r="B17" s="10">
        <f t="shared" ca="1" si="0"/>
        <v>46687</v>
      </c>
      <c r="C17" s="13">
        <f>IFERROR(Simulador!$B$7*(1+Simulador!$B$12)^INT((A17-1)/12),NA())</f>
        <v>500</v>
      </c>
      <c r="D17" s="13">
        <f t="shared" si="1"/>
        <v>11500</v>
      </c>
      <c r="E17" s="13">
        <f>IFERROR(E16*(1+Simulador!$G$12)+C17,NA())</f>
        <v>12364.126078490854</v>
      </c>
      <c r="F17" s="13">
        <f>IFERROR(E17*Simulador!$B$11/12,NA())</f>
        <v>106.1254155070465</v>
      </c>
    </row>
    <row r="18" spans="1:6" ht="18" customHeight="1">
      <c r="A18" s="1">
        <f>IF(ROW()-4&lt;=Simulador!$B$9*12,ROW()-4,NA())</f>
        <v>14</v>
      </c>
      <c r="B18" s="10">
        <f t="shared" ca="1" si="0"/>
        <v>46718</v>
      </c>
      <c r="C18" s="13">
        <f>IFERROR(Simulador!$B$7*(1+Simulador!$B$12)^INT((A18-1)/12),NA())</f>
        <v>500</v>
      </c>
      <c r="D18" s="13">
        <f t="shared" si="1"/>
        <v>12000</v>
      </c>
      <c r="E18" s="13">
        <f>IFERROR(E17*(1+Simulador!$G$12)+C18,NA())</f>
        <v>12962.719356121412</v>
      </c>
      <c r="F18" s="13">
        <f>IFERROR(E18*Simulador!$B$11/12,NA())</f>
        <v>111.2633411400421</v>
      </c>
    </row>
    <row r="19" spans="1:6" ht="18" customHeight="1">
      <c r="A19" s="1">
        <f>IF(ROW()-4&lt;=Simulador!$B$9*12,ROW()-4,NA())</f>
        <v>15</v>
      </c>
      <c r="B19" s="10">
        <f t="shared" ca="1" si="0"/>
        <v>46748</v>
      </c>
      <c r="C19" s="13">
        <f>IFERROR(Simulador!$B$7*(1+Simulador!$B$12)^INT((A19-1)/12),NA())</f>
        <v>500</v>
      </c>
      <c r="D19" s="13">
        <f t="shared" si="1"/>
        <v>12500</v>
      </c>
      <c r="E19" s="13">
        <f>IFERROR(E18*(1+Simulador!$G$12)+C19,NA())</f>
        <v>13566.085900607593</v>
      </c>
      <c r="F19" s="13">
        <f>IFERROR(E19*Simulador!$B$11/12,NA())</f>
        <v>116.4422373135485</v>
      </c>
    </row>
    <row r="20" spans="1:6" ht="18" customHeight="1">
      <c r="A20" s="1">
        <f>IF(ROW()-4&lt;=Simulador!$B$9*12,ROW()-4,NA())</f>
        <v>16</v>
      </c>
      <c r="B20" s="10">
        <f t="shared" ca="1" si="0"/>
        <v>46779</v>
      </c>
      <c r="C20" s="13">
        <f>IFERROR(Simulador!$B$7*(1+Simulador!$B$12)^INT((A20-1)/12),NA())</f>
        <v>500</v>
      </c>
      <c r="D20" s="13">
        <f t="shared" si="1"/>
        <v>13000</v>
      </c>
      <c r="E20" s="13">
        <f>IFERROR(E19*(1+Simulador!$G$12)+C20,NA())</f>
        <v>14174.263774649609</v>
      </c>
      <c r="F20" s="13">
        <f>IFERROR(E20*Simulador!$B$11/12,NA())</f>
        <v>121.66243073240913</v>
      </c>
    </row>
    <row r="21" spans="1:6" ht="18" customHeight="1">
      <c r="A21" s="1">
        <f>IF(ROW()-4&lt;=Simulador!$B$9*12,ROW()-4,NA())</f>
        <v>17</v>
      </c>
      <c r="B21" s="10">
        <f t="shared" ca="1" si="0"/>
        <v>46810</v>
      </c>
      <c r="C21" s="13">
        <f>IFERROR(Simulador!$B$7*(1+Simulador!$B$12)^INT((A21-1)/12),NA())</f>
        <v>500</v>
      </c>
      <c r="D21" s="13">
        <f t="shared" si="1"/>
        <v>13500</v>
      </c>
      <c r="E21" s="13">
        <f>IFERROR(E20*(1+Simulador!$G$12)+C21,NA())</f>
        <v>14787.291344464989</v>
      </c>
      <c r="F21" s="13">
        <f>IFERROR(E21*Simulador!$B$11/12,NA())</f>
        <v>126.92425070665782</v>
      </c>
    </row>
    <row r="22" spans="1:6" ht="18" customHeight="1">
      <c r="A22" s="1">
        <f>IF(ROW()-4&lt;=Simulador!$B$9*12,ROW()-4,NA())</f>
        <v>18</v>
      </c>
      <c r="B22" s="10">
        <f t="shared" ca="1" si="0"/>
        <v>46839</v>
      </c>
      <c r="C22" s="13">
        <f>IFERROR(Simulador!$B$7*(1+Simulador!$B$12)^INT((A22-1)/12),NA())</f>
        <v>500</v>
      </c>
      <c r="D22" s="13">
        <f t="shared" si="1"/>
        <v>14000</v>
      </c>
      <c r="E22" s="13">
        <f>IFERROR(E21*(1+Simulador!$G$12)+C22,NA())</f>
        <v>15405.207282208867</v>
      </c>
      <c r="F22" s="13">
        <f>IFERROR(E22*Simulador!$B$11/12,NA())</f>
        <v>132.22802917229276</v>
      </c>
    </row>
    <row r="23" spans="1:6" ht="18" customHeight="1">
      <c r="A23" s="1">
        <f>IF(ROW()-4&lt;=Simulador!$B$9*12,ROW()-4,NA())</f>
        <v>19</v>
      </c>
      <c r="B23" s="10">
        <f t="shared" ca="1" si="0"/>
        <v>46870</v>
      </c>
      <c r="C23" s="13">
        <f>IFERROR(Simulador!$B$7*(1+Simulador!$B$12)^INT((A23-1)/12),NA())</f>
        <v>500</v>
      </c>
      <c r="D23" s="13">
        <f t="shared" si="1"/>
        <v>14500</v>
      </c>
      <c r="E23" s="13">
        <f>IFERROR(E22*(1+Simulador!$G$12)+C23,NA())</f>
        <v>16028.050568413571</v>
      </c>
      <c r="F23" s="13">
        <f>IFERROR(E23*Simulador!$B$11/12,NA())</f>
        <v>137.57410071221648</v>
      </c>
    </row>
    <row r="24" spans="1:6" ht="18" customHeight="1">
      <c r="A24" s="1">
        <f>IF(ROW()-4&lt;=Simulador!$B$9*12,ROW()-4,NA())</f>
        <v>20</v>
      </c>
      <c r="B24" s="10">
        <f t="shared" ca="1" si="0"/>
        <v>46900</v>
      </c>
      <c r="C24" s="13">
        <f>IFERROR(Simulador!$B$7*(1+Simulador!$B$12)^INT((A24-1)/12),NA())</f>
        <v>500</v>
      </c>
      <c r="D24" s="13">
        <f t="shared" si="1"/>
        <v>15000</v>
      </c>
      <c r="E24" s="13">
        <f>IFERROR(E23*(1+Simulador!$G$12)+C24,NA())</f>
        <v>16655.860494447672</v>
      </c>
      <c r="F24" s="13">
        <f>IFERROR(E24*Simulador!$B$11/12,NA())</f>
        <v>142.9628025773425</v>
      </c>
    </row>
    <row r="25" spans="1:6" ht="18" customHeight="1">
      <c r="A25" s="1">
        <f>IF(ROW()-4&lt;=Simulador!$B$9*12,ROW()-4,NA())</f>
        <v>21</v>
      </c>
      <c r="B25" s="10">
        <f t="shared" ca="1" si="0"/>
        <v>46931</v>
      </c>
      <c r="C25" s="13">
        <f>IFERROR(Simulador!$B$7*(1+Simulador!$B$12)^INT((A25-1)/12),NA())</f>
        <v>500</v>
      </c>
      <c r="D25" s="13">
        <f t="shared" si="1"/>
        <v>15500</v>
      </c>
      <c r="E25" s="13">
        <f>IFERROR(E24*(1+Simulador!$G$12)+C25,NA())</f>
        <v>17288.676664994629</v>
      </c>
      <c r="F25" s="13">
        <f>IFERROR(E25*Simulador!$B$11/12,NA())</f>
        <v>148.39447470787056</v>
      </c>
    </row>
    <row r="26" spans="1:6" ht="18" customHeight="1">
      <c r="A26" s="1">
        <f>IF(ROW()-4&lt;=Simulador!$B$9*12,ROW()-4,NA())</f>
        <v>22</v>
      </c>
      <c r="B26" s="10">
        <f t="shared" ca="1" si="0"/>
        <v>46961</v>
      </c>
      <c r="C26" s="13">
        <f>IFERROR(Simulador!$B$7*(1+Simulador!$B$12)^INT((A26-1)/12),NA())</f>
        <v>500</v>
      </c>
      <c r="D26" s="13">
        <f t="shared" si="1"/>
        <v>16000</v>
      </c>
      <c r="E26" s="13">
        <f>IFERROR(E25*(1+Simulador!$G$12)+C26,NA())</f>
        <v>17926.539000551209</v>
      </c>
      <c r="F26" s="13">
        <f>IFERROR(E26*Simulador!$B$11/12,NA())</f>
        <v>153.8694597547312</v>
      </c>
    </row>
    <row r="27" spans="1:6" ht="18" customHeight="1">
      <c r="A27" s="1">
        <f>IF(ROW()-4&lt;=Simulador!$B$9*12,ROW()-4,NA())</f>
        <v>23</v>
      </c>
      <c r="B27" s="10">
        <f t="shared" ca="1" si="0"/>
        <v>46992</v>
      </c>
      <c r="C27" s="13">
        <f>IFERROR(Simulador!$B$7*(1+Simulador!$B$12)^INT((A27-1)/12),NA())</f>
        <v>500</v>
      </c>
      <c r="D27" s="13">
        <f t="shared" si="1"/>
        <v>16500</v>
      </c>
      <c r="E27" s="13">
        <f>IFERROR(E26*(1+Simulador!$G$12)+C27,NA())</f>
        <v>18569.487739945824</v>
      </c>
      <c r="F27" s="13">
        <f>IFERROR(E27*Simulador!$B$11/12,NA())</f>
        <v>159.38810310120164</v>
      </c>
    </row>
    <row r="28" spans="1:6" ht="18" customHeight="1">
      <c r="A28" s="1">
        <f>IF(ROW()-4&lt;=Simulador!$B$9*12,ROW()-4,NA())</f>
        <v>24</v>
      </c>
      <c r="B28" s="10">
        <f t="shared" ca="1" si="0"/>
        <v>47023</v>
      </c>
      <c r="C28" s="13">
        <f>IFERROR(Simulador!$B$7*(1+Simulador!$B$12)^INT((A28-1)/12),NA())</f>
        <v>500</v>
      </c>
      <c r="D28" s="13">
        <f t="shared" si="1"/>
        <v>17000</v>
      </c>
      <c r="E28" s="13">
        <f>IFERROR(E27*(1+Simulador!$G$12)+C28,NA())</f>
        <v>19217.563442876959</v>
      </c>
      <c r="F28" s="13">
        <f>IFERROR(E28*Simulador!$B$11/12,NA())</f>
        <v>164.95075288469388</v>
      </c>
    </row>
    <row r="29" spans="1:6" ht="18" customHeight="1">
      <c r="A29" s="1">
        <f>IF(ROW()-4&lt;=Simulador!$B$9*12,ROW()-4,NA())</f>
        <v>25</v>
      </c>
      <c r="B29" s="10">
        <f t="shared" ca="1" si="0"/>
        <v>47053</v>
      </c>
      <c r="C29" s="13">
        <f>IFERROR(Simulador!$B$7*(1+Simulador!$B$12)^INT((A29-1)/12),NA())</f>
        <v>500</v>
      </c>
      <c r="D29" s="13">
        <f t="shared" si="1"/>
        <v>17500</v>
      </c>
      <c r="E29" s="13">
        <f>IFERROR(E28*(1+Simulador!$G$12)+C29,NA())</f>
        <v>19870.806992471826</v>
      </c>
      <c r="F29" s="13">
        <f>IFERROR(E29*Simulador!$B$11/12,NA())</f>
        <v>170.55776001871649</v>
      </c>
    </row>
    <row r="30" spans="1:6" ht="18" customHeight="1">
      <c r="A30" s="1">
        <f>IF(ROW()-4&lt;=Simulador!$B$9*12,ROW()-4,NA())</f>
        <v>26</v>
      </c>
      <c r="B30" s="10">
        <f t="shared" ca="1" si="0"/>
        <v>47084</v>
      </c>
      <c r="C30" s="13">
        <f>IFERROR(Simulador!$B$7*(1+Simulador!$B$12)^INT((A30-1)/12),NA())</f>
        <v>500</v>
      </c>
      <c r="D30" s="13">
        <f t="shared" si="1"/>
        <v>18000</v>
      </c>
      <c r="E30" s="13">
        <f>IFERROR(E29*(1+Simulador!$G$12)+C30,NA())</f>
        <v>20529.259597865439</v>
      </c>
      <c r="F30" s="13">
        <f>IFERROR(E30*Simulador!$B$11/12,NA())</f>
        <v>176.20947821501167</v>
      </c>
    </row>
    <row r="31" spans="1:6" ht="18" customHeight="1">
      <c r="A31" s="1">
        <f>IF(ROW()-4&lt;=Simulador!$B$9*12,ROW()-4,NA())</f>
        <v>27</v>
      </c>
      <c r="B31" s="10">
        <f t="shared" ca="1" si="0"/>
        <v>47114</v>
      </c>
      <c r="C31" s="13">
        <f>IFERROR(Simulador!$B$7*(1+Simulador!$B$12)^INT((A31-1)/12),NA())</f>
        <v>500</v>
      </c>
      <c r="D31" s="13">
        <f t="shared" si="1"/>
        <v>18500</v>
      </c>
      <c r="E31" s="13">
        <f>IFERROR(E30*(1+Simulador!$G$12)+C31,NA())</f>
        <v>21192.962796800239</v>
      </c>
      <c r="F31" s="13">
        <f>IFERROR(E31*Simulador!$B$11/12,NA())</f>
        <v>181.90626400586871</v>
      </c>
    </row>
    <row r="32" spans="1:6" ht="18" customHeight="1">
      <c r="A32" s="1">
        <f>IF(ROW()-4&lt;=Simulador!$B$9*12,ROW()-4,NA())</f>
        <v>28</v>
      </c>
      <c r="B32" s="10">
        <f t="shared" ca="1" si="0"/>
        <v>47145</v>
      </c>
      <c r="C32" s="13">
        <f>IFERROR(Simulador!$B$7*(1+Simulador!$B$12)^INT((A32-1)/12),NA())</f>
        <v>500</v>
      </c>
      <c r="D32" s="13">
        <f t="shared" si="1"/>
        <v>19000</v>
      </c>
      <c r="E32" s="13">
        <f>IFERROR(E31*(1+Simulador!$G$12)+C32,NA())</f>
        <v>21861.958458246456</v>
      </c>
      <c r="F32" s="13">
        <f>IFERROR(E32*Simulador!$B$11/12,NA())</f>
        <v>187.6484767666154</v>
      </c>
    </row>
    <row r="33" spans="1:6" ht="18" customHeight="1">
      <c r="A33" s="1">
        <f>IF(ROW()-4&lt;=Simulador!$B$9*12,ROW()-4,NA())</f>
        <v>29</v>
      </c>
      <c r="B33" s="10">
        <f t="shared" ca="1" si="0"/>
        <v>47176</v>
      </c>
      <c r="C33" s="13">
        <f>IFERROR(Simulador!$B$7*(1+Simulador!$B$12)^INT((A33-1)/12),NA())</f>
        <v>500</v>
      </c>
      <c r="D33" s="13">
        <f t="shared" si="1"/>
        <v>19500</v>
      </c>
      <c r="E33" s="13">
        <f>IFERROR(E32*(1+Simulador!$G$12)+C33,NA())</f>
        <v>22536.288785043373</v>
      </c>
      <c r="F33" s="13">
        <f>IFERROR(E33*Simulador!$B$11/12,NA())</f>
        <v>193.43647873828891</v>
      </c>
    </row>
    <row r="34" spans="1:6" ht="18" customHeight="1">
      <c r="A34" s="1">
        <f>IF(ROW()-4&lt;=Simulador!$B$9*12,ROW()-4,NA())</f>
        <v>30</v>
      </c>
      <c r="B34" s="10">
        <f t="shared" ca="1" si="0"/>
        <v>47204</v>
      </c>
      <c r="C34" s="13">
        <f>IFERROR(Simulador!$B$7*(1+Simulador!$B$12)^INT((A34-1)/12),NA())</f>
        <v>500</v>
      </c>
      <c r="D34" s="13">
        <f t="shared" si="1"/>
        <v>20000</v>
      </c>
      <c r="E34" s="13">
        <f>IFERROR(E33*(1+Simulador!$G$12)+C34,NA())</f>
        <v>23215.996316561639</v>
      </c>
      <c r="F34" s="13">
        <f>IFERROR(E34*Simulador!$B$11/12,NA())</f>
        <v>199.27063505048739</v>
      </c>
    </row>
    <row r="35" spans="1:6" ht="18" customHeight="1">
      <c r="A35" s="1">
        <f>IF(ROW()-4&lt;=Simulador!$B$9*12,ROW()-4,NA())</f>
        <v>31</v>
      </c>
      <c r="B35" s="10">
        <f t="shared" ca="1" si="0"/>
        <v>47235</v>
      </c>
      <c r="C35" s="13">
        <f>IFERROR(Simulador!$B$7*(1+Simulador!$B$12)^INT((A35-1)/12),NA())</f>
        <v>500</v>
      </c>
      <c r="D35" s="13">
        <f t="shared" si="1"/>
        <v>20500</v>
      </c>
      <c r="E35" s="13">
        <f>IFERROR(E34*(1+Simulador!$G$12)+C35,NA())</f>
        <v>23901.123931386814</v>
      </c>
      <c r="F35" s="13">
        <f>IFERROR(E35*Simulador!$B$11/12,NA())</f>
        <v>205.1513137444035</v>
      </c>
    </row>
    <row r="36" spans="1:6" ht="18" customHeight="1">
      <c r="A36" s="1">
        <f>IF(ROW()-4&lt;=Simulador!$B$9*12,ROW()-4,NA())</f>
        <v>32</v>
      </c>
      <c r="B36" s="10">
        <f t="shared" ca="1" si="0"/>
        <v>47265</v>
      </c>
      <c r="C36" s="13">
        <f>IFERROR(Simulador!$B$7*(1+Simulador!$B$12)^INT((A36-1)/12),NA())</f>
        <v>500</v>
      </c>
      <c r="D36" s="13">
        <f t="shared" si="1"/>
        <v>21000</v>
      </c>
      <c r="E36" s="13">
        <f>IFERROR(E35*(1+Simulador!$G$12)+C36,NA())</f>
        <v>24591.714850024324</v>
      </c>
      <c r="F36" s="13">
        <f>IFERROR(E36*Simulador!$B$11/12,NA())</f>
        <v>211.0788857960421</v>
      </c>
    </row>
    <row r="37" spans="1:6" ht="18" customHeight="1">
      <c r="A37" s="1">
        <f>IF(ROW()-4&lt;=Simulador!$B$9*12,ROW()-4,NA())</f>
        <v>33</v>
      </c>
      <c r="B37" s="10">
        <f t="shared" ca="1" si="0"/>
        <v>47296</v>
      </c>
      <c r="C37" s="13">
        <f>IFERROR(Simulador!$B$7*(1+Simulador!$B$12)^INT((A37-1)/12),NA())</f>
        <v>500</v>
      </c>
      <c r="D37" s="13">
        <f t="shared" si="1"/>
        <v>21500</v>
      </c>
      <c r="E37" s="13">
        <f>IFERROR(E36*(1+Simulador!$G$12)+C37,NA())</f>
        <v>25287.812637625975</v>
      </c>
      <c r="F37" s="13">
        <f>IFERROR(E37*Simulador!$B$11/12,NA())</f>
        <v>217.05372513962297</v>
      </c>
    </row>
    <row r="38" spans="1:6" ht="18" customHeight="1">
      <c r="A38" s="1">
        <f>IF(ROW()-4&lt;=Simulador!$B$9*12,ROW()-4,NA())</f>
        <v>34</v>
      </c>
      <c r="B38" s="10">
        <f t="shared" ca="1" si="0"/>
        <v>47326</v>
      </c>
      <c r="C38" s="13">
        <f>IFERROR(Simulador!$B$7*(1+Simulador!$B$12)^INT((A38-1)/12),NA())</f>
        <v>500</v>
      </c>
      <c r="D38" s="13">
        <f t="shared" si="1"/>
        <v>22000</v>
      </c>
      <c r="E38" s="13">
        <f>IFERROR(E37*(1+Simulador!$G$12)+C38,NA())</f>
        <v>25989.461206738211</v>
      </c>
      <c r="F38" s="13">
        <f>IFERROR(E38*Simulador!$B$11/12,NA())</f>
        <v>223.07620869116963</v>
      </c>
    </row>
    <row r="39" spans="1:6" ht="18" customHeight="1">
      <c r="A39" s="1">
        <f>IF(ROW()-4&lt;=Simulador!$B$9*12,ROW()-4,NA())</f>
        <v>35</v>
      </c>
      <c r="B39" s="10">
        <f t="shared" ca="1" si="0"/>
        <v>47357</v>
      </c>
      <c r="C39" s="13">
        <f>IFERROR(Simulador!$B$7*(1+Simulador!$B$12)^INT((A39-1)/12),NA())</f>
        <v>500</v>
      </c>
      <c r="D39" s="13">
        <f t="shared" si="1"/>
        <v>22500</v>
      </c>
      <c r="E39" s="13">
        <f>IFERROR(E38*(1+Simulador!$G$12)+C39,NA())</f>
        <v>26696.704820072289</v>
      </c>
      <c r="F39" s="13">
        <f>IFERROR(E39*Simulador!$B$11/12,NA())</f>
        <v>229.14671637228716</v>
      </c>
    </row>
    <row r="40" spans="1:6" ht="18" customHeight="1">
      <c r="A40" s="1">
        <f>IF(ROW()-4&lt;=Simulador!$B$9*12,ROW()-4,NA())</f>
        <v>36</v>
      </c>
      <c r="B40" s="10">
        <f t="shared" ca="1" si="0"/>
        <v>47388</v>
      </c>
      <c r="C40" s="13">
        <f>IFERROR(Simulador!$B$7*(1+Simulador!$B$12)^INT((A40-1)/12),NA())</f>
        <v>500</v>
      </c>
      <c r="D40" s="13">
        <f t="shared" si="1"/>
        <v>23000</v>
      </c>
      <c r="E40" s="13">
        <f>IFERROR(E39*(1+Simulador!$G$12)+C40,NA())</f>
        <v>27409.588093296537</v>
      </c>
      <c r="F40" s="13">
        <f>IFERROR(E40*Simulador!$B$11/12,NA())</f>
        <v>235.2656311341286</v>
      </c>
    </row>
    <row r="41" spans="1:6" ht="18" customHeight="1">
      <c r="A41" s="1">
        <f>IF(ROW()-4&lt;=Simulador!$B$9*12,ROW()-4,NA())</f>
        <v>37</v>
      </c>
      <c r="B41" s="10">
        <f t="shared" ca="1" si="0"/>
        <v>47418</v>
      </c>
      <c r="C41" s="13">
        <f>IFERROR(Simulador!$B$7*(1+Simulador!$B$12)^INT((A41-1)/12),NA())</f>
        <v>500</v>
      </c>
      <c r="D41" s="13">
        <f t="shared" si="1"/>
        <v>23500</v>
      </c>
      <c r="E41" s="13">
        <f>IFERROR(E40*(1+Simulador!$G$12)+C41,NA())</f>
        <v>28128.155997850892</v>
      </c>
      <c r="F41" s="13">
        <f>IFERROR(E41*Simulador!$B$11/12,NA())</f>
        <v>241.43333898155348</v>
      </c>
    </row>
    <row r="42" spans="1:6" ht="18" customHeight="1">
      <c r="A42" s="1">
        <f>IF(ROW()-4&lt;=Simulador!$B$9*12,ROW()-4,NA())</f>
        <v>38</v>
      </c>
      <c r="B42" s="10">
        <f t="shared" ca="1" si="0"/>
        <v>47449</v>
      </c>
      <c r="C42" s="13">
        <f>IFERROR(Simulador!$B$7*(1+Simulador!$B$12)^INT((A42-1)/12),NA())</f>
        <v>500</v>
      </c>
      <c r="D42" s="13">
        <f t="shared" si="1"/>
        <v>24000</v>
      </c>
      <c r="E42" s="13">
        <f>IFERROR(E41*(1+Simulador!$G$12)+C42,NA())</f>
        <v>28852.453863783867</v>
      </c>
      <c r="F42" s="13">
        <f>IFERROR(E42*Simulador!$B$11/12,NA())</f>
        <v>247.65022899747817</v>
      </c>
    </row>
    <row r="43" spans="1:6" ht="18" customHeight="1">
      <c r="A43" s="1">
        <f>IF(ROW()-4&lt;=Simulador!$B$9*12,ROW()-4,NA())</f>
        <v>39</v>
      </c>
      <c r="B43" s="10">
        <f t="shared" ca="1" si="0"/>
        <v>47479</v>
      </c>
      <c r="C43" s="13">
        <f>IFERROR(Simulador!$B$7*(1+Simulador!$B$12)^INT((A43-1)/12),NA())</f>
        <v>500</v>
      </c>
      <c r="D43" s="13">
        <f t="shared" si="1"/>
        <v>24500</v>
      </c>
      <c r="E43" s="13">
        <f>IFERROR(E42*(1+Simulador!$G$12)+C43,NA())</f>
        <v>29582.527382612145</v>
      </c>
      <c r="F43" s="13">
        <f>IFERROR(E43*Simulador!$B$11/12,NA())</f>
        <v>253.91669336742089</v>
      </c>
    </row>
    <row r="44" spans="1:6" ht="18" customHeight="1">
      <c r="A44" s="1">
        <f>IF(ROW()-4&lt;=Simulador!$B$9*12,ROW()-4,NA())</f>
        <v>40</v>
      </c>
      <c r="B44" s="10">
        <f t="shared" ca="1" si="0"/>
        <v>47510</v>
      </c>
      <c r="C44" s="13">
        <f>IFERROR(Simulador!$B$7*(1+Simulador!$B$12)^INT((A44-1)/12),NA())</f>
        <v>500</v>
      </c>
      <c r="D44" s="13">
        <f t="shared" si="1"/>
        <v>25000</v>
      </c>
      <c r="E44" s="13">
        <f>IFERROR(E43*(1+Simulador!$G$12)+C44,NA())</f>
        <v>30318.422610202986</v>
      </c>
      <c r="F44" s="13">
        <f>IFERROR(E44*Simulador!$B$11/12,NA())</f>
        <v>260.23312740424228</v>
      </c>
    </row>
    <row r="45" spans="1:6" ht="18" customHeight="1">
      <c r="A45" s="1">
        <f>IF(ROW()-4&lt;=Simulador!$B$9*12,ROW()-4,NA())</f>
        <v>41</v>
      </c>
      <c r="B45" s="10">
        <f t="shared" ca="1" si="0"/>
        <v>47541</v>
      </c>
      <c r="C45" s="13">
        <f>IFERROR(Simulador!$B$7*(1+Simulador!$B$12)^INT((A45-1)/12),NA())</f>
        <v>500</v>
      </c>
      <c r="D45" s="13">
        <f t="shared" si="1"/>
        <v>25500</v>
      </c>
      <c r="E45" s="13">
        <f>IFERROR(E44*(1+Simulador!$G$12)+C45,NA())</f>
        <v>31060.185969679595</v>
      </c>
      <c r="F45" s="13">
        <f>IFERROR(E45*Simulador!$B$11/12,NA())</f>
        <v>266.59992957308316</v>
      </c>
    </row>
    <row r="46" spans="1:6" ht="18" customHeight="1">
      <c r="A46" s="1">
        <f>IF(ROW()-4&lt;=Simulador!$B$9*12,ROW()-4,NA())</f>
        <v>42</v>
      </c>
      <c r="B46" s="10">
        <f t="shared" ca="1" si="0"/>
        <v>47569</v>
      </c>
      <c r="C46" s="13">
        <f>IFERROR(Simulador!$B$7*(1+Simulador!$B$12)^INT((A46-1)/12),NA())</f>
        <v>500</v>
      </c>
      <c r="D46" s="13">
        <f t="shared" si="1"/>
        <v>26000</v>
      </c>
      <c r="E46" s="13">
        <f>IFERROR(E45*(1+Simulador!$G$12)+C46,NA())</f>
        <v>31807.864254349686</v>
      </c>
      <c r="F46" s="13">
        <f>IFERROR(E46*Simulador!$B$11/12,NA())</f>
        <v>273.01750151650145</v>
      </c>
    </row>
    <row r="47" spans="1:6" ht="18" customHeight="1">
      <c r="A47" s="1">
        <f>IF(ROW()-4&lt;=Simulador!$B$9*12,ROW()-4,NA())</f>
        <v>43</v>
      </c>
      <c r="B47" s="10">
        <f t="shared" ca="1" si="0"/>
        <v>47600</v>
      </c>
      <c r="C47" s="13">
        <f>IFERROR(Simulador!$B$7*(1+Simulador!$B$12)^INT((A47-1)/12),NA())</f>
        <v>500</v>
      </c>
      <c r="D47" s="13">
        <f t="shared" si="1"/>
        <v>26500</v>
      </c>
      <c r="E47" s="13">
        <f>IFERROR(E46*(1+Simulador!$G$12)+C47,NA())</f>
        <v>32561.504630657379</v>
      </c>
      <c r="F47" s="13">
        <f>IFERROR(E47*Simulador!$B$11/12,NA())</f>
        <v>279.48624807980917</v>
      </c>
    </row>
    <row r="48" spans="1:6" ht="18" customHeight="1">
      <c r="A48" s="1">
        <f>IF(ROW()-4&lt;=Simulador!$B$9*12,ROW()-4,NA())</f>
        <v>44</v>
      </c>
      <c r="B48" s="10">
        <f t="shared" ca="1" si="0"/>
        <v>47630</v>
      </c>
      <c r="C48" s="13">
        <f>IFERROR(Simulador!$B$7*(1+Simulador!$B$12)^INT((A48-1)/12),NA())</f>
        <v>500</v>
      </c>
      <c r="D48" s="13">
        <f t="shared" si="1"/>
        <v>27000</v>
      </c>
      <c r="E48" s="13">
        <f>IFERROR(E47*(1+Simulador!$G$12)+C48,NA())</f>
        <v>33321.154641158639</v>
      </c>
      <c r="F48" s="13">
        <f>IFERROR(E48*Simulador!$B$11/12,NA())</f>
        <v>286.00657733661166</v>
      </c>
    </row>
    <row r="49" spans="1:6" ht="18" customHeight="1">
      <c r="A49" s="1">
        <f>IF(ROW()-4&lt;=Simulador!$B$9*12,ROW()-4,NA())</f>
        <v>45</v>
      </c>
      <c r="B49" s="10">
        <f t="shared" ca="1" si="0"/>
        <v>47661</v>
      </c>
      <c r="C49" s="13">
        <f>IFERROR(Simulador!$B$7*(1+Simulador!$B$12)^INT((A49-1)/12),NA())</f>
        <v>500</v>
      </c>
      <c r="D49" s="13">
        <f t="shared" si="1"/>
        <v>27500</v>
      </c>
      <c r="E49" s="13">
        <f>IFERROR(E48*(1+Simulador!$G$12)+C49,NA())</f>
        <v>34086.862207520455</v>
      </c>
      <c r="F49" s="13">
        <f>IFERROR(E49*Simulador!$B$11/12,NA())</f>
        <v>292.57890061455055</v>
      </c>
    </row>
    <row r="50" spans="1:6" ht="18" customHeight="1">
      <c r="A50" s="1">
        <f>IF(ROW()-4&lt;=Simulador!$B$9*12,ROW()-4,NA())</f>
        <v>46</v>
      </c>
      <c r="B50" s="10">
        <f t="shared" ca="1" si="0"/>
        <v>47691</v>
      </c>
      <c r="C50" s="13">
        <f>IFERROR(Simulador!$B$7*(1+Simulador!$B$12)^INT((A50-1)/12),NA())</f>
        <v>500</v>
      </c>
      <c r="D50" s="13">
        <f t="shared" si="1"/>
        <v>28000</v>
      </c>
      <c r="E50" s="13">
        <f>IFERROR(E49*(1+Simulador!$G$12)+C50,NA())</f>
        <v>34858.675633543913</v>
      </c>
      <c r="F50" s="13">
        <f>IFERROR(E50*Simulador!$B$11/12,NA())</f>
        <v>299.2036325212519</v>
      </c>
    </row>
    <row r="51" spans="1:6" ht="18" customHeight="1">
      <c r="A51" s="1">
        <f>IF(ROW()-4&lt;=Simulador!$B$9*12,ROW()-4,NA())</f>
        <v>47</v>
      </c>
      <c r="B51" s="10">
        <f t="shared" ca="1" si="0"/>
        <v>47722</v>
      </c>
      <c r="C51" s="13">
        <f>IFERROR(Simulador!$B$7*(1+Simulador!$B$12)^INT((A51-1)/12),NA())</f>
        <v>500</v>
      </c>
      <c r="D51" s="13">
        <f t="shared" si="1"/>
        <v>28500</v>
      </c>
      <c r="E51" s="13">
        <f>IFERROR(E50*(1+Simulador!$G$12)+C51,NA())</f>
        <v>35636.643608211401</v>
      </c>
      <c r="F51" s="13">
        <f>IFERROR(E51*Simulador!$B$11/12,NA())</f>
        <v>305.88119097048121</v>
      </c>
    </row>
    <row r="52" spans="1:6" ht="18" customHeight="1">
      <c r="A52" s="1">
        <f>IF(ROW()-4&lt;=Simulador!$B$9*12,ROW()-4,NA())</f>
        <v>48</v>
      </c>
      <c r="B52" s="10">
        <f t="shared" ca="1" si="0"/>
        <v>47753</v>
      </c>
      <c r="C52" s="13">
        <f>IFERROR(Simulador!$B$7*(1+Simulador!$B$12)^INT((A52-1)/12),NA())</f>
        <v>500</v>
      </c>
      <c r="D52" s="13">
        <f t="shared" si="1"/>
        <v>29000</v>
      </c>
      <c r="E52" s="13">
        <f>IFERROR(E51*(1+Simulador!$G$12)+C52,NA())</f>
        <v>36420.815208758075</v>
      </c>
      <c r="F52" s="13">
        <f>IFERROR(E52*Simulador!$B$11/12,NA())</f>
        <v>312.61199720850681</v>
      </c>
    </row>
    <row r="53" spans="1:6" ht="18" customHeight="1">
      <c r="A53" s="1">
        <f>IF(ROW()-4&lt;=Simulador!$B$9*12,ROW()-4,NA())</f>
        <v>49</v>
      </c>
      <c r="B53" s="10">
        <f t="shared" ca="1" si="0"/>
        <v>47783</v>
      </c>
      <c r="C53" s="13">
        <f>IFERROR(Simulador!$B$7*(1+Simulador!$B$12)^INT((A53-1)/12),NA())</f>
        <v>500</v>
      </c>
      <c r="D53" s="13">
        <f t="shared" si="1"/>
        <v>29500</v>
      </c>
      <c r="E53" s="13">
        <f>IFERROR(E52*(1+Simulador!$G$12)+C53,NA())</f>
        <v>37211.239903767862</v>
      </c>
      <c r="F53" s="13">
        <f>IFERROR(E53*Simulador!$B$11/12,NA())</f>
        <v>319.3964758406741</v>
      </c>
    </row>
    <row r="54" spans="1:6" ht="18" customHeight="1">
      <c r="A54" s="1">
        <f>IF(ROW()-4&lt;=Simulador!$B$9*12,ROW()-4,NA())</f>
        <v>50</v>
      </c>
      <c r="B54" s="10">
        <f t="shared" ca="1" si="0"/>
        <v>47814</v>
      </c>
      <c r="C54" s="13">
        <f>IFERROR(Simulador!$B$7*(1+Simulador!$B$12)^INT((A54-1)/12),NA())</f>
        <v>500</v>
      </c>
      <c r="D54" s="13">
        <f t="shared" si="1"/>
        <v>30000</v>
      </c>
      <c r="E54" s="13">
        <f>IFERROR(E53*(1+Simulador!$G$12)+C54,NA())</f>
        <v>38007.967556294134</v>
      </c>
      <c r="F54" s="13">
        <f>IFERROR(E54*Simulador!$B$11/12,NA())</f>
        <v>326.23505485819129</v>
      </c>
    </row>
    <row r="55" spans="1:6" ht="18" customHeight="1">
      <c r="A55" s="1">
        <f>IF(ROW()-4&lt;=Simulador!$B$9*12,ROW()-4,NA())</f>
        <v>51</v>
      </c>
      <c r="B55" s="10">
        <f t="shared" ca="1" si="0"/>
        <v>47844</v>
      </c>
      <c r="C55" s="13">
        <f>IFERROR(Simulador!$B$7*(1+Simulador!$B$12)^INT((A55-1)/12),NA())</f>
        <v>500</v>
      </c>
      <c r="D55" s="13">
        <f t="shared" si="1"/>
        <v>30500</v>
      </c>
      <c r="E55" s="13">
        <f>IFERROR(E54*(1+Simulador!$G$12)+C55,NA())</f>
        <v>38811.04842700524</v>
      </c>
      <c r="F55" s="13">
        <f>IFERROR(E55*Simulador!$B$11/12,NA())</f>
        <v>333.12816566512828</v>
      </c>
    </row>
    <row r="56" spans="1:6" ht="18" customHeight="1">
      <c r="A56" s="1">
        <f>IF(ROW()-4&lt;=Simulador!$B$9*12,ROW()-4,NA())</f>
        <v>52</v>
      </c>
      <c r="B56" s="10">
        <f t="shared" ca="1" si="0"/>
        <v>47875</v>
      </c>
      <c r="C56" s="13">
        <f>IFERROR(Simulador!$B$7*(1+Simulador!$B$12)^INT((A56-1)/12),NA())</f>
        <v>500</v>
      </c>
      <c r="D56" s="13">
        <f t="shared" si="1"/>
        <v>31000</v>
      </c>
      <c r="E56" s="13">
        <f>IFERROR(E55*(1+Simulador!$G$12)+C56,NA())</f>
        <v>39620.533177355166</v>
      </c>
      <c r="F56" s="13">
        <f>IFERROR(E56*Simulador!$B$11/12,NA())</f>
        <v>340.07624310563182</v>
      </c>
    </row>
    <row r="57" spans="1:6" ht="18" customHeight="1">
      <c r="A57" s="1">
        <f>IF(ROW()-4&lt;=Simulador!$B$9*12,ROW()-4,NA())</f>
        <v>53</v>
      </c>
      <c r="B57" s="10">
        <f t="shared" ca="1" si="0"/>
        <v>47906</v>
      </c>
      <c r="C57" s="13">
        <f>IFERROR(Simulador!$B$7*(1+Simulador!$B$12)^INT((A57-1)/12),NA())</f>
        <v>500</v>
      </c>
      <c r="D57" s="13">
        <f t="shared" si="1"/>
        <v>31500</v>
      </c>
      <c r="E57" s="13">
        <f>IFERROR(E56*(1+Simulador!$G$12)+C57,NA())</f>
        <v>40436.472872779435</v>
      </c>
      <c r="F57" s="13">
        <f>IFERROR(E57*Simulador!$B$11/12,NA())</f>
        <v>347.07972549135684</v>
      </c>
    </row>
    <row r="58" spans="1:6" ht="18" customHeight="1">
      <c r="A58" s="1">
        <f>IF(ROW()-4&lt;=Simulador!$B$9*12,ROW()-4,NA())</f>
        <v>54</v>
      </c>
      <c r="B58" s="10">
        <f t="shared" ca="1" si="0"/>
        <v>47934</v>
      </c>
      <c r="C58" s="13">
        <f>IFERROR(Simulador!$B$7*(1+Simulador!$B$12)^INT((A58-1)/12),NA())</f>
        <v>500</v>
      </c>
      <c r="D58" s="13">
        <f t="shared" si="1"/>
        <v>32000</v>
      </c>
      <c r="E58" s="13">
        <f>IFERROR(E57*(1+Simulador!$G$12)+C58,NA())</f>
        <v>41258.918985916534</v>
      </c>
      <c r="F58" s="13">
        <f>IFERROR(E58*Simulador!$B$11/12,NA())</f>
        <v>354.13905462911686</v>
      </c>
    </row>
    <row r="59" spans="1:6" ht="18" customHeight="1">
      <c r="A59" s="1">
        <f>IF(ROW()-4&lt;=Simulador!$B$9*12,ROW()-4,NA())</f>
        <v>55</v>
      </c>
      <c r="B59" s="10">
        <f t="shared" ca="1" si="0"/>
        <v>47965</v>
      </c>
      <c r="C59" s="13">
        <f>IFERROR(Simulador!$B$7*(1+Simulador!$B$12)^INT((A59-1)/12),NA())</f>
        <v>500</v>
      </c>
      <c r="D59" s="13">
        <f t="shared" si="1"/>
        <v>32500</v>
      </c>
      <c r="E59" s="13">
        <f>IFERROR(E58*(1+Simulador!$G$12)+C59,NA())</f>
        <v>42087.923399854997</v>
      </c>
      <c r="F59" s="13">
        <f>IFERROR(E59*Simulador!$B$11/12,NA())</f>
        <v>361.25467584875537</v>
      </c>
    </row>
    <row r="60" spans="1:6" ht="18" customHeight="1">
      <c r="A60" s="1">
        <f>IF(ROW()-4&lt;=Simulador!$B$9*12,ROW()-4,NA())</f>
        <v>56</v>
      </c>
      <c r="B60" s="10">
        <f t="shared" ca="1" si="0"/>
        <v>47995</v>
      </c>
      <c r="C60" s="13">
        <f>IFERROR(Simulador!$B$7*(1+Simulador!$B$12)^INT((A60-1)/12),NA())</f>
        <v>500</v>
      </c>
      <c r="D60" s="13">
        <f t="shared" si="1"/>
        <v>33000</v>
      </c>
      <c r="E60" s="13">
        <f>IFERROR(E59*(1+Simulador!$G$12)+C60,NA())</f>
        <v>42923.538411406385</v>
      </c>
      <c r="F60" s="13">
        <f>IFERROR(E60*Simulador!$B$11/12,NA())</f>
        <v>368.42703803123817</v>
      </c>
    </row>
    <row r="61" spans="1:6" ht="18" customHeight="1">
      <c r="A61" s="1">
        <f>IF(ROW()-4&lt;=Simulador!$B$9*12,ROW()-4,NA())</f>
        <v>57</v>
      </c>
      <c r="B61" s="10">
        <f t="shared" ca="1" si="0"/>
        <v>48026</v>
      </c>
      <c r="C61" s="13">
        <f>IFERROR(Simulador!$B$7*(1+Simulador!$B$12)^INT((A61-1)/12),NA())</f>
        <v>500</v>
      </c>
      <c r="D61" s="13">
        <f t="shared" si="1"/>
        <v>33500</v>
      </c>
      <c r="E61" s="13">
        <f>IFERROR(E60*(1+Simulador!$G$12)+C61,NA())</f>
        <v>43765.816734404383</v>
      </c>
      <c r="F61" s="13">
        <f>IFERROR(E61*Simulador!$B$11/12,NA())</f>
        <v>375.65659363697091</v>
      </c>
    </row>
    <row r="62" spans="1:6" ht="18" customHeight="1">
      <c r="A62" s="1">
        <f>IF(ROW()-4&lt;=Simulador!$B$9*12,ROW()-4,NA())</f>
        <v>58</v>
      </c>
      <c r="B62" s="10">
        <f t="shared" ca="1" si="0"/>
        <v>48056</v>
      </c>
      <c r="C62" s="13">
        <f>IFERROR(Simulador!$B$7*(1+Simulador!$B$12)^INT((A62-1)/12),NA())</f>
        <v>500</v>
      </c>
      <c r="D62" s="13">
        <f t="shared" si="1"/>
        <v>34000</v>
      </c>
      <c r="E62" s="13">
        <f>IFERROR(E61*(1+Simulador!$G$12)+C62,NA())</f>
        <v>44614.811503030192</v>
      </c>
      <c r="F62" s="13">
        <f>IFERROR(E62*Simulador!$B$11/12,NA())</f>
        <v>382.94379873434247</v>
      </c>
    </row>
    <row r="63" spans="1:6" ht="18" customHeight="1">
      <c r="A63" s="1">
        <f>IF(ROW()-4&lt;=Simulador!$B$9*12,ROW()-4,NA())</f>
        <v>59</v>
      </c>
      <c r="B63" s="10">
        <f t="shared" ca="1" si="0"/>
        <v>48087</v>
      </c>
      <c r="C63" s="13">
        <f>IFERROR(Simulador!$B$7*(1+Simulador!$B$12)^INT((A63-1)/12),NA())</f>
        <v>500</v>
      </c>
      <c r="D63" s="13">
        <f t="shared" si="1"/>
        <v>34500</v>
      </c>
      <c r="E63" s="13">
        <f>IFERROR(E62*(1+Simulador!$G$12)+C63,NA())</f>
        <v>45470.576275164429</v>
      </c>
      <c r="F63" s="13">
        <f>IFERROR(E63*Simulador!$B$11/12,NA())</f>
        <v>390.28911302849468</v>
      </c>
    </row>
    <row r="64" spans="1:6" ht="18" customHeight="1">
      <c r="A64" s="1">
        <f>IF(ROW()-4&lt;=Simulador!$B$9*12,ROW()-4,NA())</f>
        <v>60</v>
      </c>
      <c r="B64" s="10">
        <f t="shared" ca="1" si="0"/>
        <v>48118</v>
      </c>
      <c r="C64" s="13">
        <f>IFERROR(Simulador!$B$7*(1+Simulador!$B$12)^INT((A64-1)/12),NA())</f>
        <v>500</v>
      </c>
      <c r="D64" s="13">
        <f t="shared" si="1"/>
        <v>35000</v>
      </c>
      <c r="E64" s="13">
        <f>IFERROR(E63*(1+Simulador!$G$12)+C64,NA())</f>
        <v>46333.165035765771</v>
      </c>
      <c r="F64" s="13">
        <f>IFERROR(E64*Simulador!$B$11/12,NA())</f>
        <v>397.69299989032288</v>
      </c>
    </row>
    <row r="65" spans="1:6" ht="18" customHeight="1">
      <c r="A65" s="1" t="e">
        <f>IF(ROW()-4&lt;=Simulador!$B$9*12,ROW()-4,NA())</f>
        <v>#N/A</v>
      </c>
      <c r="B65" s="10" t="e">
        <f t="shared" ca="1" si="0"/>
        <v>#N/A</v>
      </c>
      <c r="C65" s="13" t="e">
        <f>IFERROR(Simulador!$B$7*(1+Simulador!$B$12)^INT((A65-1)/12),NA())</f>
        <v>#N/A</v>
      </c>
      <c r="D65" s="13" t="e">
        <f t="shared" si="1"/>
        <v>#N/A</v>
      </c>
      <c r="E65" s="13" t="e">
        <f>IFERROR(E64*(1+Simulador!$G$12)+C65,NA())</f>
        <v>#N/A</v>
      </c>
      <c r="F65" s="13" t="e">
        <f>IFERROR(E65*Simulador!$B$11/12,NA())</f>
        <v>#N/A</v>
      </c>
    </row>
    <row r="66" spans="1:6" ht="18" customHeight="1">
      <c r="A66" s="1" t="e">
        <f>IF(ROW()-4&lt;=Simulador!$B$9*12,ROW()-4,NA())</f>
        <v>#N/A</v>
      </c>
      <c r="B66" s="10" t="e">
        <f t="shared" ca="1" si="0"/>
        <v>#N/A</v>
      </c>
      <c r="C66" s="13" t="e">
        <f>IFERROR(Simulador!$B$7*(1+Simulador!$B$12)^INT((A66-1)/12),NA())</f>
        <v>#N/A</v>
      </c>
      <c r="D66" s="13" t="e">
        <f t="shared" si="1"/>
        <v>#N/A</v>
      </c>
      <c r="E66" s="13" t="e">
        <f>IFERROR(E65*(1+Simulador!$G$12)+C66,NA())</f>
        <v>#N/A</v>
      </c>
      <c r="F66" s="13" t="e">
        <f>IFERROR(E66*Simulador!$B$11/12,NA())</f>
        <v>#N/A</v>
      </c>
    </row>
    <row r="67" spans="1:6" ht="18" customHeight="1">
      <c r="A67" s="1" t="e">
        <f>IF(ROW()-4&lt;=Simulador!$B$9*12,ROW()-4,NA())</f>
        <v>#N/A</v>
      </c>
      <c r="B67" s="10" t="e">
        <f t="shared" ca="1" si="0"/>
        <v>#N/A</v>
      </c>
      <c r="C67" s="13" t="e">
        <f>IFERROR(Simulador!$B$7*(1+Simulador!$B$12)^INT((A67-1)/12),NA())</f>
        <v>#N/A</v>
      </c>
      <c r="D67" s="13" t="e">
        <f t="shared" si="1"/>
        <v>#N/A</v>
      </c>
      <c r="E67" s="13" t="e">
        <f>IFERROR(E66*(1+Simulador!$G$12)+C67,NA())</f>
        <v>#N/A</v>
      </c>
      <c r="F67" s="13" t="e">
        <f>IFERROR(E67*Simulador!$B$11/12,NA())</f>
        <v>#N/A</v>
      </c>
    </row>
    <row r="68" spans="1:6" ht="18" customHeight="1">
      <c r="A68" s="1" t="e">
        <f>IF(ROW()-4&lt;=Simulador!$B$9*12,ROW()-4,NA())</f>
        <v>#N/A</v>
      </c>
      <c r="B68" s="10" t="e">
        <f t="shared" ca="1" si="0"/>
        <v>#N/A</v>
      </c>
      <c r="C68" s="13" t="e">
        <f>IFERROR(Simulador!$B$7*(1+Simulador!$B$12)^INT((A68-1)/12),NA())</f>
        <v>#N/A</v>
      </c>
      <c r="D68" s="13" t="e">
        <f t="shared" si="1"/>
        <v>#N/A</v>
      </c>
      <c r="E68" s="13" t="e">
        <f>IFERROR(E67*(1+Simulador!$G$12)+C68,NA())</f>
        <v>#N/A</v>
      </c>
      <c r="F68" s="13" t="e">
        <f>IFERROR(E68*Simulador!$B$11/12,NA())</f>
        <v>#N/A</v>
      </c>
    </row>
    <row r="69" spans="1:6" ht="18" customHeight="1">
      <c r="A69" s="1" t="e">
        <f>IF(ROW()-4&lt;=Simulador!$B$9*12,ROW()-4,NA())</f>
        <v>#N/A</v>
      </c>
      <c r="B69" s="10" t="e">
        <f t="shared" ca="1" si="0"/>
        <v>#N/A</v>
      </c>
      <c r="C69" s="13" t="e">
        <f>IFERROR(Simulador!$B$7*(1+Simulador!$B$12)^INT((A69-1)/12),NA())</f>
        <v>#N/A</v>
      </c>
      <c r="D69" s="13" t="e">
        <f t="shared" si="1"/>
        <v>#N/A</v>
      </c>
      <c r="E69" s="13" t="e">
        <f>IFERROR(E68*(1+Simulador!$G$12)+C69,NA())</f>
        <v>#N/A</v>
      </c>
      <c r="F69" s="13" t="e">
        <f>IFERROR(E69*Simulador!$B$11/12,NA())</f>
        <v>#N/A</v>
      </c>
    </row>
    <row r="70" spans="1:6" ht="18" customHeight="1">
      <c r="A70" s="1" t="e">
        <f>IF(ROW()-4&lt;=Simulador!$B$9*12,ROW()-4,NA())</f>
        <v>#N/A</v>
      </c>
      <c r="B70" s="10" t="e">
        <f t="shared" ref="B70:B133" ca="1" si="2">IFERROR(EDATE($B$4,A70),NA())</f>
        <v>#N/A</v>
      </c>
      <c r="C70" s="13" t="e">
        <f>IFERROR(Simulador!$B$7*(1+Simulador!$B$12)^INT((A70-1)/12),NA())</f>
        <v>#N/A</v>
      </c>
      <c r="D70" s="13" t="e">
        <f t="shared" ref="D70:D133" si="3">IFERROR(D69+C70,NA())</f>
        <v>#N/A</v>
      </c>
      <c r="E70" s="13" t="e">
        <f>IFERROR(E69*(1+Simulador!$G$12)+C70,NA())</f>
        <v>#N/A</v>
      </c>
      <c r="F70" s="13" t="e">
        <f>IFERROR(E70*Simulador!$B$11/12,NA())</f>
        <v>#N/A</v>
      </c>
    </row>
    <row r="71" spans="1:6" ht="18" customHeight="1">
      <c r="A71" s="1" t="e">
        <f>IF(ROW()-4&lt;=Simulador!$B$9*12,ROW()-4,NA())</f>
        <v>#N/A</v>
      </c>
      <c r="B71" s="10" t="e">
        <f t="shared" ca="1" si="2"/>
        <v>#N/A</v>
      </c>
      <c r="C71" s="13" t="e">
        <f>IFERROR(Simulador!$B$7*(1+Simulador!$B$12)^INT((A71-1)/12),NA())</f>
        <v>#N/A</v>
      </c>
      <c r="D71" s="13" t="e">
        <f t="shared" si="3"/>
        <v>#N/A</v>
      </c>
      <c r="E71" s="13" t="e">
        <f>IFERROR(E70*(1+Simulador!$G$12)+C71,NA())</f>
        <v>#N/A</v>
      </c>
      <c r="F71" s="13" t="e">
        <f>IFERROR(E71*Simulador!$B$11/12,NA())</f>
        <v>#N/A</v>
      </c>
    </row>
    <row r="72" spans="1:6" ht="18" customHeight="1">
      <c r="A72" s="1" t="e">
        <f>IF(ROW()-4&lt;=Simulador!$B$9*12,ROW()-4,NA())</f>
        <v>#N/A</v>
      </c>
      <c r="B72" s="10" t="e">
        <f t="shared" ca="1" si="2"/>
        <v>#N/A</v>
      </c>
      <c r="C72" s="13" t="e">
        <f>IFERROR(Simulador!$B$7*(1+Simulador!$B$12)^INT((A72-1)/12),NA())</f>
        <v>#N/A</v>
      </c>
      <c r="D72" s="13" t="e">
        <f t="shared" si="3"/>
        <v>#N/A</v>
      </c>
      <c r="E72" s="13" t="e">
        <f>IFERROR(E71*(1+Simulador!$G$12)+C72,NA())</f>
        <v>#N/A</v>
      </c>
      <c r="F72" s="13" t="e">
        <f>IFERROR(E72*Simulador!$B$11/12,NA())</f>
        <v>#N/A</v>
      </c>
    </row>
    <row r="73" spans="1:6" ht="18" customHeight="1">
      <c r="A73" s="1" t="e">
        <f>IF(ROW()-4&lt;=Simulador!$B$9*12,ROW()-4,NA())</f>
        <v>#N/A</v>
      </c>
      <c r="B73" s="10" t="e">
        <f t="shared" ca="1" si="2"/>
        <v>#N/A</v>
      </c>
      <c r="C73" s="13" t="e">
        <f>IFERROR(Simulador!$B$7*(1+Simulador!$B$12)^INT((A73-1)/12),NA())</f>
        <v>#N/A</v>
      </c>
      <c r="D73" s="13" t="e">
        <f t="shared" si="3"/>
        <v>#N/A</v>
      </c>
      <c r="E73" s="13" t="e">
        <f>IFERROR(E72*(1+Simulador!$G$12)+C73,NA())</f>
        <v>#N/A</v>
      </c>
      <c r="F73" s="13" t="e">
        <f>IFERROR(E73*Simulador!$B$11/12,NA())</f>
        <v>#N/A</v>
      </c>
    </row>
    <row r="74" spans="1:6" ht="18" customHeight="1">
      <c r="A74" s="1" t="e">
        <f>IF(ROW()-4&lt;=Simulador!$B$9*12,ROW()-4,NA())</f>
        <v>#N/A</v>
      </c>
      <c r="B74" s="10" t="e">
        <f t="shared" ca="1" si="2"/>
        <v>#N/A</v>
      </c>
      <c r="C74" s="13" t="e">
        <f>IFERROR(Simulador!$B$7*(1+Simulador!$B$12)^INT((A74-1)/12),NA())</f>
        <v>#N/A</v>
      </c>
      <c r="D74" s="13" t="e">
        <f t="shared" si="3"/>
        <v>#N/A</v>
      </c>
      <c r="E74" s="13" t="e">
        <f>IFERROR(E73*(1+Simulador!$G$12)+C74,NA())</f>
        <v>#N/A</v>
      </c>
      <c r="F74" s="13" t="e">
        <f>IFERROR(E74*Simulador!$B$11/12,NA())</f>
        <v>#N/A</v>
      </c>
    </row>
    <row r="75" spans="1:6" ht="18" customHeight="1">
      <c r="A75" s="1" t="e">
        <f>IF(ROW()-4&lt;=Simulador!$B$9*12,ROW()-4,NA())</f>
        <v>#N/A</v>
      </c>
      <c r="B75" s="10" t="e">
        <f t="shared" ca="1" si="2"/>
        <v>#N/A</v>
      </c>
      <c r="C75" s="13" t="e">
        <f>IFERROR(Simulador!$B$7*(1+Simulador!$B$12)^INT((A75-1)/12),NA())</f>
        <v>#N/A</v>
      </c>
      <c r="D75" s="13" t="e">
        <f t="shared" si="3"/>
        <v>#N/A</v>
      </c>
      <c r="E75" s="13" t="e">
        <f>IFERROR(E74*(1+Simulador!$G$12)+C75,NA())</f>
        <v>#N/A</v>
      </c>
      <c r="F75" s="13" t="e">
        <f>IFERROR(E75*Simulador!$B$11/12,NA())</f>
        <v>#N/A</v>
      </c>
    </row>
    <row r="76" spans="1:6" ht="18" customHeight="1">
      <c r="A76" s="1" t="e">
        <f>IF(ROW()-4&lt;=Simulador!$B$9*12,ROW()-4,NA())</f>
        <v>#N/A</v>
      </c>
      <c r="B76" s="10" t="e">
        <f t="shared" ca="1" si="2"/>
        <v>#N/A</v>
      </c>
      <c r="C76" s="13" t="e">
        <f>IFERROR(Simulador!$B$7*(1+Simulador!$B$12)^INT((A76-1)/12),NA())</f>
        <v>#N/A</v>
      </c>
      <c r="D76" s="13" t="e">
        <f t="shared" si="3"/>
        <v>#N/A</v>
      </c>
      <c r="E76" s="13" t="e">
        <f>IFERROR(E75*(1+Simulador!$G$12)+C76,NA())</f>
        <v>#N/A</v>
      </c>
      <c r="F76" s="13" t="e">
        <f>IFERROR(E76*Simulador!$B$11/12,NA())</f>
        <v>#N/A</v>
      </c>
    </row>
    <row r="77" spans="1:6" ht="18" customHeight="1">
      <c r="A77" s="1" t="e">
        <f>IF(ROW()-4&lt;=Simulador!$B$9*12,ROW()-4,NA())</f>
        <v>#N/A</v>
      </c>
      <c r="B77" s="10" t="e">
        <f t="shared" ca="1" si="2"/>
        <v>#N/A</v>
      </c>
      <c r="C77" s="13" t="e">
        <f>IFERROR(Simulador!$B$7*(1+Simulador!$B$12)^INT((A77-1)/12),NA())</f>
        <v>#N/A</v>
      </c>
      <c r="D77" s="13" t="e">
        <f t="shared" si="3"/>
        <v>#N/A</v>
      </c>
      <c r="E77" s="13" t="e">
        <f>IFERROR(E76*(1+Simulador!$G$12)+C77,NA())</f>
        <v>#N/A</v>
      </c>
      <c r="F77" s="13" t="e">
        <f>IFERROR(E77*Simulador!$B$11/12,NA())</f>
        <v>#N/A</v>
      </c>
    </row>
    <row r="78" spans="1:6" ht="18" customHeight="1">
      <c r="A78" s="1" t="e">
        <f>IF(ROW()-4&lt;=Simulador!$B$9*12,ROW()-4,NA())</f>
        <v>#N/A</v>
      </c>
      <c r="B78" s="10" t="e">
        <f t="shared" ca="1" si="2"/>
        <v>#N/A</v>
      </c>
      <c r="C78" s="13" t="e">
        <f>IFERROR(Simulador!$B$7*(1+Simulador!$B$12)^INT((A78-1)/12),NA())</f>
        <v>#N/A</v>
      </c>
      <c r="D78" s="13" t="e">
        <f t="shared" si="3"/>
        <v>#N/A</v>
      </c>
      <c r="E78" s="13" t="e">
        <f>IFERROR(E77*(1+Simulador!$G$12)+C78,NA())</f>
        <v>#N/A</v>
      </c>
      <c r="F78" s="13" t="e">
        <f>IFERROR(E78*Simulador!$B$11/12,NA())</f>
        <v>#N/A</v>
      </c>
    </row>
    <row r="79" spans="1:6" ht="18" customHeight="1">
      <c r="A79" s="1" t="e">
        <f>IF(ROW()-4&lt;=Simulador!$B$9*12,ROW()-4,NA())</f>
        <v>#N/A</v>
      </c>
      <c r="B79" s="10" t="e">
        <f t="shared" ca="1" si="2"/>
        <v>#N/A</v>
      </c>
      <c r="C79" s="13" t="e">
        <f>IFERROR(Simulador!$B$7*(1+Simulador!$B$12)^INT((A79-1)/12),NA())</f>
        <v>#N/A</v>
      </c>
      <c r="D79" s="13" t="e">
        <f t="shared" si="3"/>
        <v>#N/A</v>
      </c>
      <c r="E79" s="13" t="e">
        <f>IFERROR(E78*(1+Simulador!$G$12)+C79,NA())</f>
        <v>#N/A</v>
      </c>
      <c r="F79" s="13" t="e">
        <f>IFERROR(E79*Simulador!$B$11/12,NA())</f>
        <v>#N/A</v>
      </c>
    </row>
    <row r="80" spans="1:6" ht="18" customHeight="1">
      <c r="A80" s="1" t="e">
        <f>IF(ROW()-4&lt;=Simulador!$B$9*12,ROW()-4,NA())</f>
        <v>#N/A</v>
      </c>
      <c r="B80" s="10" t="e">
        <f t="shared" ca="1" si="2"/>
        <v>#N/A</v>
      </c>
      <c r="C80" s="13" t="e">
        <f>IFERROR(Simulador!$B$7*(1+Simulador!$B$12)^INT((A80-1)/12),NA())</f>
        <v>#N/A</v>
      </c>
      <c r="D80" s="13" t="e">
        <f t="shared" si="3"/>
        <v>#N/A</v>
      </c>
      <c r="E80" s="13" t="e">
        <f>IFERROR(E79*(1+Simulador!$G$12)+C80,NA())</f>
        <v>#N/A</v>
      </c>
      <c r="F80" s="13" t="e">
        <f>IFERROR(E80*Simulador!$B$11/12,NA())</f>
        <v>#N/A</v>
      </c>
    </row>
    <row r="81" spans="1:6" ht="18" customHeight="1">
      <c r="A81" s="1" t="e">
        <f>IF(ROW()-4&lt;=Simulador!$B$9*12,ROW()-4,NA())</f>
        <v>#N/A</v>
      </c>
      <c r="B81" s="10" t="e">
        <f t="shared" ca="1" si="2"/>
        <v>#N/A</v>
      </c>
      <c r="C81" s="13" t="e">
        <f>IFERROR(Simulador!$B$7*(1+Simulador!$B$12)^INT((A81-1)/12),NA())</f>
        <v>#N/A</v>
      </c>
      <c r="D81" s="13" t="e">
        <f t="shared" si="3"/>
        <v>#N/A</v>
      </c>
      <c r="E81" s="13" t="e">
        <f>IFERROR(E80*(1+Simulador!$G$12)+C81,NA())</f>
        <v>#N/A</v>
      </c>
      <c r="F81" s="13" t="e">
        <f>IFERROR(E81*Simulador!$B$11/12,NA())</f>
        <v>#N/A</v>
      </c>
    </row>
    <row r="82" spans="1:6" ht="18" customHeight="1">
      <c r="A82" s="1" t="e">
        <f>IF(ROW()-4&lt;=Simulador!$B$9*12,ROW()-4,NA())</f>
        <v>#N/A</v>
      </c>
      <c r="B82" s="10" t="e">
        <f t="shared" ca="1" si="2"/>
        <v>#N/A</v>
      </c>
      <c r="C82" s="13" t="e">
        <f>IFERROR(Simulador!$B$7*(1+Simulador!$B$12)^INT((A82-1)/12),NA())</f>
        <v>#N/A</v>
      </c>
      <c r="D82" s="13" t="e">
        <f t="shared" si="3"/>
        <v>#N/A</v>
      </c>
      <c r="E82" s="13" t="e">
        <f>IFERROR(E81*(1+Simulador!$G$12)+C82,NA())</f>
        <v>#N/A</v>
      </c>
      <c r="F82" s="13" t="e">
        <f>IFERROR(E82*Simulador!$B$11/12,NA())</f>
        <v>#N/A</v>
      </c>
    </row>
    <row r="83" spans="1:6" ht="18" customHeight="1">
      <c r="A83" s="1" t="e">
        <f>IF(ROW()-4&lt;=Simulador!$B$9*12,ROW()-4,NA())</f>
        <v>#N/A</v>
      </c>
      <c r="B83" s="10" t="e">
        <f t="shared" ca="1" si="2"/>
        <v>#N/A</v>
      </c>
      <c r="C83" s="13" t="e">
        <f>IFERROR(Simulador!$B$7*(1+Simulador!$B$12)^INT((A83-1)/12),NA())</f>
        <v>#N/A</v>
      </c>
      <c r="D83" s="13" t="e">
        <f t="shared" si="3"/>
        <v>#N/A</v>
      </c>
      <c r="E83" s="13" t="e">
        <f>IFERROR(E82*(1+Simulador!$G$12)+C83,NA())</f>
        <v>#N/A</v>
      </c>
      <c r="F83" s="13" t="e">
        <f>IFERROR(E83*Simulador!$B$11/12,NA())</f>
        <v>#N/A</v>
      </c>
    </row>
    <row r="84" spans="1:6" ht="18" customHeight="1">
      <c r="A84" s="1" t="e">
        <f>IF(ROW()-4&lt;=Simulador!$B$9*12,ROW()-4,NA())</f>
        <v>#N/A</v>
      </c>
      <c r="B84" s="10" t="e">
        <f t="shared" ca="1" si="2"/>
        <v>#N/A</v>
      </c>
      <c r="C84" s="13" t="e">
        <f>IFERROR(Simulador!$B$7*(1+Simulador!$B$12)^INT((A84-1)/12),NA())</f>
        <v>#N/A</v>
      </c>
      <c r="D84" s="13" t="e">
        <f t="shared" si="3"/>
        <v>#N/A</v>
      </c>
      <c r="E84" s="13" t="e">
        <f>IFERROR(E83*(1+Simulador!$G$12)+C84,NA())</f>
        <v>#N/A</v>
      </c>
      <c r="F84" s="13" t="e">
        <f>IFERROR(E84*Simulador!$B$11/12,NA())</f>
        <v>#N/A</v>
      </c>
    </row>
    <row r="85" spans="1:6" ht="18" customHeight="1">
      <c r="A85" s="1" t="e">
        <f>IF(ROW()-4&lt;=Simulador!$B$9*12,ROW()-4,NA())</f>
        <v>#N/A</v>
      </c>
      <c r="B85" s="10" t="e">
        <f t="shared" ca="1" si="2"/>
        <v>#N/A</v>
      </c>
      <c r="C85" s="13" t="e">
        <f>IFERROR(Simulador!$B$7*(1+Simulador!$B$12)^INT((A85-1)/12),NA())</f>
        <v>#N/A</v>
      </c>
      <c r="D85" s="13" t="e">
        <f t="shared" si="3"/>
        <v>#N/A</v>
      </c>
      <c r="E85" s="13" t="e">
        <f>IFERROR(E84*(1+Simulador!$G$12)+C85,NA())</f>
        <v>#N/A</v>
      </c>
      <c r="F85" s="13" t="e">
        <f>IFERROR(E85*Simulador!$B$11/12,NA())</f>
        <v>#N/A</v>
      </c>
    </row>
    <row r="86" spans="1:6" ht="18" customHeight="1">
      <c r="A86" s="1" t="e">
        <f>IF(ROW()-4&lt;=Simulador!$B$9*12,ROW()-4,NA())</f>
        <v>#N/A</v>
      </c>
      <c r="B86" s="10" t="e">
        <f t="shared" ca="1" si="2"/>
        <v>#N/A</v>
      </c>
      <c r="C86" s="13" t="e">
        <f>IFERROR(Simulador!$B$7*(1+Simulador!$B$12)^INT((A86-1)/12),NA())</f>
        <v>#N/A</v>
      </c>
      <c r="D86" s="13" t="e">
        <f t="shared" si="3"/>
        <v>#N/A</v>
      </c>
      <c r="E86" s="13" t="e">
        <f>IFERROR(E85*(1+Simulador!$G$12)+C86,NA())</f>
        <v>#N/A</v>
      </c>
      <c r="F86" s="13" t="e">
        <f>IFERROR(E86*Simulador!$B$11/12,NA())</f>
        <v>#N/A</v>
      </c>
    </row>
    <row r="87" spans="1:6" ht="18" customHeight="1">
      <c r="A87" s="1" t="e">
        <f>IF(ROW()-4&lt;=Simulador!$B$9*12,ROW()-4,NA())</f>
        <v>#N/A</v>
      </c>
      <c r="B87" s="10" t="e">
        <f t="shared" ca="1" si="2"/>
        <v>#N/A</v>
      </c>
      <c r="C87" s="13" t="e">
        <f>IFERROR(Simulador!$B$7*(1+Simulador!$B$12)^INT((A87-1)/12),NA())</f>
        <v>#N/A</v>
      </c>
      <c r="D87" s="13" t="e">
        <f t="shared" si="3"/>
        <v>#N/A</v>
      </c>
      <c r="E87" s="13" t="e">
        <f>IFERROR(E86*(1+Simulador!$G$12)+C87,NA())</f>
        <v>#N/A</v>
      </c>
      <c r="F87" s="13" t="e">
        <f>IFERROR(E87*Simulador!$B$11/12,NA())</f>
        <v>#N/A</v>
      </c>
    </row>
    <row r="88" spans="1:6" ht="18" customHeight="1">
      <c r="A88" s="1" t="e">
        <f>IF(ROW()-4&lt;=Simulador!$B$9*12,ROW()-4,NA())</f>
        <v>#N/A</v>
      </c>
      <c r="B88" s="10" t="e">
        <f t="shared" ca="1" si="2"/>
        <v>#N/A</v>
      </c>
      <c r="C88" s="13" t="e">
        <f>IFERROR(Simulador!$B$7*(1+Simulador!$B$12)^INT((A88-1)/12),NA())</f>
        <v>#N/A</v>
      </c>
      <c r="D88" s="13" t="e">
        <f t="shared" si="3"/>
        <v>#N/A</v>
      </c>
      <c r="E88" s="13" t="e">
        <f>IFERROR(E87*(1+Simulador!$G$12)+C88,NA())</f>
        <v>#N/A</v>
      </c>
      <c r="F88" s="13" t="e">
        <f>IFERROR(E88*Simulador!$B$11/12,NA())</f>
        <v>#N/A</v>
      </c>
    </row>
    <row r="89" spans="1:6" ht="18" customHeight="1">
      <c r="A89" s="1" t="e">
        <f>IF(ROW()-4&lt;=Simulador!$B$9*12,ROW()-4,NA())</f>
        <v>#N/A</v>
      </c>
      <c r="B89" s="10" t="e">
        <f t="shared" ca="1" si="2"/>
        <v>#N/A</v>
      </c>
      <c r="C89" s="13" t="e">
        <f>IFERROR(Simulador!$B$7*(1+Simulador!$B$12)^INT((A89-1)/12),NA())</f>
        <v>#N/A</v>
      </c>
      <c r="D89" s="13" t="e">
        <f t="shared" si="3"/>
        <v>#N/A</v>
      </c>
      <c r="E89" s="13" t="e">
        <f>IFERROR(E88*(1+Simulador!$G$12)+C89,NA())</f>
        <v>#N/A</v>
      </c>
      <c r="F89" s="13" t="e">
        <f>IFERROR(E89*Simulador!$B$11/12,NA())</f>
        <v>#N/A</v>
      </c>
    </row>
    <row r="90" spans="1:6" ht="18" customHeight="1">
      <c r="A90" s="1" t="e">
        <f>IF(ROW()-4&lt;=Simulador!$B$9*12,ROW()-4,NA())</f>
        <v>#N/A</v>
      </c>
      <c r="B90" s="10" t="e">
        <f t="shared" ca="1" si="2"/>
        <v>#N/A</v>
      </c>
      <c r="C90" s="13" t="e">
        <f>IFERROR(Simulador!$B$7*(1+Simulador!$B$12)^INT((A90-1)/12),NA())</f>
        <v>#N/A</v>
      </c>
      <c r="D90" s="13" t="e">
        <f t="shared" si="3"/>
        <v>#N/A</v>
      </c>
      <c r="E90" s="13" t="e">
        <f>IFERROR(E89*(1+Simulador!$G$12)+C90,NA())</f>
        <v>#N/A</v>
      </c>
      <c r="F90" s="13" t="e">
        <f>IFERROR(E90*Simulador!$B$11/12,NA())</f>
        <v>#N/A</v>
      </c>
    </row>
    <row r="91" spans="1:6" ht="18" customHeight="1">
      <c r="A91" s="1" t="e">
        <f>IF(ROW()-4&lt;=Simulador!$B$9*12,ROW()-4,NA())</f>
        <v>#N/A</v>
      </c>
      <c r="B91" s="10" t="e">
        <f t="shared" ca="1" si="2"/>
        <v>#N/A</v>
      </c>
      <c r="C91" s="13" t="e">
        <f>IFERROR(Simulador!$B$7*(1+Simulador!$B$12)^INT((A91-1)/12),NA())</f>
        <v>#N/A</v>
      </c>
      <c r="D91" s="13" t="e">
        <f t="shared" si="3"/>
        <v>#N/A</v>
      </c>
      <c r="E91" s="13" t="e">
        <f>IFERROR(E90*(1+Simulador!$G$12)+C91,NA())</f>
        <v>#N/A</v>
      </c>
      <c r="F91" s="13" t="e">
        <f>IFERROR(E91*Simulador!$B$11/12,NA())</f>
        <v>#N/A</v>
      </c>
    </row>
    <row r="92" spans="1:6" ht="18" customHeight="1">
      <c r="A92" s="1" t="e">
        <f>IF(ROW()-4&lt;=Simulador!$B$9*12,ROW()-4,NA())</f>
        <v>#N/A</v>
      </c>
      <c r="B92" s="10" t="e">
        <f t="shared" ca="1" si="2"/>
        <v>#N/A</v>
      </c>
      <c r="C92" s="13" t="e">
        <f>IFERROR(Simulador!$B$7*(1+Simulador!$B$12)^INT((A92-1)/12),NA())</f>
        <v>#N/A</v>
      </c>
      <c r="D92" s="13" t="e">
        <f t="shared" si="3"/>
        <v>#N/A</v>
      </c>
      <c r="E92" s="13" t="e">
        <f>IFERROR(E91*(1+Simulador!$G$12)+C92,NA())</f>
        <v>#N/A</v>
      </c>
      <c r="F92" s="13" t="e">
        <f>IFERROR(E92*Simulador!$B$11/12,NA())</f>
        <v>#N/A</v>
      </c>
    </row>
    <row r="93" spans="1:6" ht="18" customHeight="1">
      <c r="A93" s="1" t="e">
        <f>IF(ROW()-4&lt;=Simulador!$B$9*12,ROW()-4,NA())</f>
        <v>#N/A</v>
      </c>
      <c r="B93" s="10" t="e">
        <f t="shared" ca="1" si="2"/>
        <v>#N/A</v>
      </c>
      <c r="C93" s="13" t="e">
        <f>IFERROR(Simulador!$B$7*(1+Simulador!$B$12)^INT((A93-1)/12),NA())</f>
        <v>#N/A</v>
      </c>
      <c r="D93" s="13" t="e">
        <f t="shared" si="3"/>
        <v>#N/A</v>
      </c>
      <c r="E93" s="13" t="e">
        <f>IFERROR(E92*(1+Simulador!$G$12)+C93,NA())</f>
        <v>#N/A</v>
      </c>
      <c r="F93" s="13" t="e">
        <f>IFERROR(E93*Simulador!$B$11/12,NA())</f>
        <v>#N/A</v>
      </c>
    </row>
    <row r="94" spans="1:6" ht="18" customHeight="1">
      <c r="A94" s="1" t="e">
        <f>IF(ROW()-4&lt;=Simulador!$B$9*12,ROW()-4,NA())</f>
        <v>#N/A</v>
      </c>
      <c r="B94" s="10" t="e">
        <f t="shared" ca="1" si="2"/>
        <v>#N/A</v>
      </c>
      <c r="C94" s="13" t="e">
        <f>IFERROR(Simulador!$B$7*(1+Simulador!$B$12)^INT((A94-1)/12),NA())</f>
        <v>#N/A</v>
      </c>
      <c r="D94" s="13" t="e">
        <f t="shared" si="3"/>
        <v>#N/A</v>
      </c>
      <c r="E94" s="13" t="e">
        <f>IFERROR(E93*(1+Simulador!$G$12)+C94,NA())</f>
        <v>#N/A</v>
      </c>
      <c r="F94" s="13" t="e">
        <f>IFERROR(E94*Simulador!$B$11/12,NA())</f>
        <v>#N/A</v>
      </c>
    </row>
    <row r="95" spans="1:6" ht="18" customHeight="1">
      <c r="A95" s="1" t="e">
        <f>IF(ROW()-4&lt;=Simulador!$B$9*12,ROW()-4,NA())</f>
        <v>#N/A</v>
      </c>
      <c r="B95" s="10" t="e">
        <f t="shared" ca="1" si="2"/>
        <v>#N/A</v>
      </c>
      <c r="C95" s="13" t="e">
        <f>IFERROR(Simulador!$B$7*(1+Simulador!$B$12)^INT((A95-1)/12),NA())</f>
        <v>#N/A</v>
      </c>
      <c r="D95" s="13" t="e">
        <f t="shared" si="3"/>
        <v>#N/A</v>
      </c>
      <c r="E95" s="13" t="e">
        <f>IFERROR(E94*(1+Simulador!$G$12)+C95,NA())</f>
        <v>#N/A</v>
      </c>
      <c r="F95" s="13" t="e">
        <f>IFERROR(E95*Simulador!$B$11/12,NA())</f>
        <v>#N/A</v>
      </c>
    </row>
    <row r="96" spans="1:6" ht="18" customHeight="1">
      <c r="A96" s="1" t="e">
        <f>IF(ROW()-4&lt;=Simulador!$B$9*12,ROW()-4,NA())</f>
        <v>#N/A</v>
      </c>
      <c r="B96" s="10" t="e">
        <f t="shared" ca="1" si="2"/>
        <v>#N/A</v>
      </c>
      <c r="C96" s="13" t="e">
        <f>IFERROR(Simulador!$B$7*(1+Simulador!$B$12)^INT((A96-1)/12),NA())</f>
        <v>#N/A</v>
      </c>
      <c r="D96" s="13" t="e">
        <f t="shared" si="3"/>
        <v>#N/A</v>
      </c>
      <c r="E96" s="13" t="e">
        <f>IFERROR(E95*(1+Simulador!$G$12)+C96,NA())</f>
        <v>#N/A</v>
      </c>
      <c r="F96" s="13" t="e">
        <f>IFERROR(E96*Simulador!$B$11/12,NA())</f>
        <v>#N/A</v>
      </c>
    </row>
    <row r="97" spans="1:6" ht="18" customHeight="1">
      <c r="A97" s="1" t="e">
        <f>IF(ROW()-4&lt;=Simulador!$B$9*12,ROW()-4,NA())</f>
        <v>#N/A</v>
      </c>
      <c r="B97" s="10" t="e">
        <f t="shared" ca="1" si="2"/>
        <v>#N/A</v>
      </c>
      <c r="C97" s="13" t="e">
        <f>IFERROR(Simulador!$B$7*(1+Simulador!$B$12)^INT((A97-1)/12),NA())</f>
        <v>#N/A</v>
      </c>
      <c r="D97" s="13" t="e">
        <f t="shared" si="3"/>
        <v>#N/A</v>
      </c>
      <c r="E97" s="13" t="e">
        <f>IFERROR(E96*(1+Simulador!$G$12)+C97,NA())</f>
        <v>#N/A</v>
      </c>
      <c r="F97" s="13" t="e">
        <f>IFERROR(E97*Simulador!$B$11/12,NA())</f>
        <v>#N/A</v>
      </c>
    </row>
    <row r="98" spans="1:6" ht="18" customHeight="1">
      <c r="A98" s="1" t="e">
        <f>IF(ROW()-4&lt;=Simulador!$B$9*12,ROW()-4,NA())</f>
        <v>#N/A</v>
      </c>
      <c r="B98" s="10" t="e">
        <f t="shared" ca="1" si="2"/>
        <v>#N/A</v>
      </c>
      <c r="C98" s="13" t="e">
        <f>IFERROR(Simulador!$B$7*(1+Simulador!$B$12)^INT((A98-1)/12),NA())</f>
        <v>#N/A</v>
      </c>
      <c r="D98" s="13" t="e">
        <f t="shared" si="3"/>
        <v>#N/A</v>
      </c>
      <c r="E98" s="13" t="e">
        <f>IFERROR(E97*(1+Simulador!$G$12)+C98,NA())</f>
        <v>#N/A</v>
      </c>
      <c r="F98" s="13" t="e">
        <f>IFERROR(E98*Simulador!$B$11/12,NA())</f>
        <v>#N/A</v>
      </c>
    </row>
    <row r="99" spans="1:6" ht="18" customHeight="1">
      <c r="A99" s="1" t="e">
        <f>IF(ROW()-4&lt;=Simulador!$B$9*12,ROW()-4,NA())</f>
        <v>#N/A</v>
      </c>
      <c r="B99" s="10" t="e">
        <f t="shared" ca="1" si="2"/>
        <v>#N/A</v>
      </c>
      <c r="C99" s="13" t="e">
        <f>IFERROR(Simulador!$B$7*(1+Simulador!$B$12)^INT((A99-1)/12),NA())</f>
        <v>#N/A</v>
      </c>
      <c r="D99" s="13" t="e">
        <f t="shared" si="3"/>
        <v>#N/A</v>
      </c>
      <c r="E99" s="13" t="e">
        <f>IFERROR(E98*(1+Simulador!$G$12)+C99,NA())</f>
        <v>#N/A</v>
      </c>
      <c r="F99" s="13" t="e">
        <f>IFERROR(E99*Simulador!$B$11/12,NA())</f>
        <v>#N/A</v>
      </c>
    </row>
    <row r="100" spans="1:6" ht="18" customHeight="1">
      <c r="A100" s="1" t="e">
        <f>IF(ROW()-4&lt;=Simulador!$B$9*12,ROW()-4,NA())</f>
        <v>#N/A</v>
      </c>
      <c r="B100" s="10" t="e">
        <f t="shared" ca="1" si="2"/>
        <v>#N/A</v>
      </c>
      <c r="C100" s="13" t="e">
        <f>IFERROR(Simulador!$B$7*(1+Simulador!$B$12)^INT((A100-1)/12),NA())</f>
        <v>#N/A</v>
      </c>
      <c r="D100" s="13" t="e">
        <f t="shared" si="3"/>
        <v>#N/A</v>
      </c>
      <c r="E100" s="13" t="e">
        <f>IFERROR(E99*(1+Simulador!$G$12)+C100,NA())</f>
        <v>#N/A</v>
      </c>
      <c r="F100" s="13" t="e">
        <f>IFERROR(E100*Simulador!$B$11/12,NA())</f>
        <v>#N/A</v>
      </c>
    </row>
    <row r="101" spans="1:6" ht="18" customHeight="1">
      <c r="A101" s="1" t="e">
        <f>IF(ROW()-4&lt;=Simulador!$B$9*12,ROW()-4,NA())</f>
        <v>#N/A</v>
      </c>
      <c r="B101" s="10" t="e">
        <f t="shared" ca="1" si="2"/>
        <v>#N/A</v>
      </c>
      <c r="C101" s="13" t="e">
        <f>IFERROR(Simulador!$B$7*(1+Simulador!$B$12)^INT((A101-1)/12),NA())</f>
        <v>#N/A</v>
      </c>
      <c r="D101" s="13" t="e">
        <f t="shared" si="3"/>
        <v>#N/A</v>
      </c>
      <c r="E101" s="13" t="e">
        <f>IFERROR(E100*(1+Simulador!$G$12)+C101,NA())</f>
        <v>#N/A</v>
      </c>
      <c r="F101" s="13" t="e">
        <f>IFERROR(E101*Simulador!$B$11/12,NA())</f>
        <v>#N/A</v>
      </c>
    </row>
    <row r="102" spans="1:6" ht="18" customHeight="1">
      <c r="A102" s="1" t="e">
        <f>IF(ROW()-4&lt;=Simulador!$B$9*12,ROW()-4,NA())</f>
        <v>#N/A</v>
      </c>
      <c r="B102" s="10" t="e">
        <f t="shared" ca="1" si="2"/>
        <v>#N/A</v>
      </c>
      <c r="C102" s="13" t="e">
        <f>IFERROR(Simulador!$B$7*(1+Simulador!$B$12)^INT((A102-1)/12),NA())</f>
        <v>#N/A</v>
      </c>
      <c r="D102" s="13" t="e">
        <f t="shared" si="3"/>
        <v>#N/A</v>
      </c>
      <c r="E102" s="13" t="e">
        <f>IFERROR(E101*(1+Simulador!$G$12)+C102,NA())</f>
        <v>#N/A</v>
      </c>
      <c r="F102" s="13" t="e">
        <f>IFERROR(E102*Simulador!$B$11/12,NA())</f>
        <v>#N/A</v>
      </c>
    </row>
    <row r="103" spans="1:6" ht="18" customHeight="1">
      <c r="A103" s="1" t="e">
        <f>IF(ROW()-4&lt;=Simulador!$B$9*12,ROW()-4,NA())</f>
        <v>#N/A</v>
      </c>
      <c r="B103" s="10" t="e">
        <f t="shared" ca="1" si="2"/>
        <v>#N/A</v>
      </c>
      <c r="C103" s="13" t="e">
        <f>IFERROR(Simulador!$B$7*(1+Simulador!$B$12)^INT((A103-1)/12),NA())</f>
        <v>#N/A</v>
      </c>
      <c r="D103" s="13" t="e">
        <f t="shared" si="3"/>
        <v>#N/A</v>
      </c>
      <c r="E103" s="13" t="e">
        <f>IFERROR(E102*(1+Simulador!$G$12)+C103,NA())</f>
        <v>#N/A</v>
      </c>
      <c r="F103" s="13" t="e">
        <f>IFERROR(E103*Simulador!$B$11/12,NA())</f>
        <v>#N/A</v>
      </c>
    </row>
    <row r="104" spans="1:6" ht="18" customHeight="1">
      <c r="A104" s="1" t="e">
        <f>IF(ROW()-4&lt;=Simulador!$B$9*12,ROW()-4,NA())</f>
        <v>#N/A</v>
      </c>
      <c r="B104" s="10" t="e">
        <f t="shared" ca="1" si="2"/>
        <v>#N/A</v>
      </c>
      <c r="C104" s="13" t="e">
        <f>IFERROR(Simulador!$B$7*(1+Simulador!$B$12)^INT((A104-1)/12),NA())</f>
        <v>#N/A</v>
      </c>
      <c r="D104" s="13" t="e">
        <f t="shared" si="3"/>
        <v>#N/A</v>
      </c>
      <c r="E104" s="13" t="e">
        <f>IFERROR(E103*(1+Simulador!$G$12)+C104,NA())</f>
        <v>#N/A</v>
      </c>
      <c r="F104" s="13" t="e">
        <f>IFERROR(E104*Simulador!$B$11/12,NA())</f>
        <v>#N/A</v>
      </c>
    </row>
    <row r="105" spans="1:6" ht="18" customHeight="1">
      <c r="A105" s="1" t="e">
        <f>IF(ROW()-4&lt;=Simulador!$B$9*12,ROW()-4,NA())</f>
        <v>#N/A</v>
      </c>
      <c r="B105" s="10" t="e">
        <f t="shared" ca="1" si="2"/>
        <v>#N/A</v>
      </c>
      <c r="C105" s="13" t="e">
        <f>IFERROR(Simulador!$B$7*(1+Simulador!$B$12)^INT((A105-1)/12),NA())</f>
        <v>#N/A</v>
      </c>
      <c r="D105" s="13" t="e">
        <f t="shared" si="3"/>
        <v>#N/A</v>
      </c>
      <c r="E105" s="13" t="e">
        <f>IFERROR(E104*(1+Simulador!$G$12)+C105,NA())</f>
        <v>#N/A</v>
      </c>
      <c r="F105" s="13" t="e">
        <f>IFERROR(E105*Simulador!$B$11/12,NA())</f>
        <v>#N/A</v>
      </c>
    </row>
    <row r="106" spans="1:6" ht="18" customHeight="1">
      <c r="A106" s="1" t="e">
        <f>IF(ROW()-4&lt;=Simulador!$B$9*12,ROW()-4,NA())</f>
        <v>#N/A</v>
      </c>
      <c r="B106" s="10" t="e">
        <f t="shared" ca="1" si="2"/>
        <v>#N/A</v>
      </c>
      <c r="C106" s="13" t="e">
        <f>IFERROR(Simulador!$B$7*(1+Simulador!$B$12)^INT((A106-1)/12),NA())</f>
        <v>#N/A</v>
      </c>
      <c r="D106" s="13" t="e">
        <f t="shared" si="3"/>
        <v>#N/A</v>
      </c>
      <c r="E106" s="13" t="e">
        <f>IFERROR(E105*(1+Simulador!$G$12)+C106,NA())</f>
        <v>#N/A</v>
      </c>
      <c r="F106" s="13" t="e">
        <f>IFERROR(E106*Simulador!$B$11/12,NA())</f>
        <v>#N/A</v>
      </c>
    </row>
    <row r="107" spans="1:6" ht="18" customHeight="1">
      <c r="A107" s="1" t="e">
        <f>IF(ROW()-4&lt;=Simulador!$B$9*12,ROW()-4,NA())</f>
        <v>#N/A</v>
      </c>
      <c r="B107" s="10" t="e">
        <f t="shared" ca="1" si="2"/>
        <v>#N/A</v>
      </c>
      <c r="C107" s="13" t="e">
        <f>IFERROR(Simulador!$B$7*(1+Simulador!$B$12)^INT((A107-1)/12),NA())</f>
        <v>#N/A</v>
      </c>
      <c r="D107" s="13" t="e">
        <f t="shared" si="3"/>
        <v>#N/A</v>
      </c>
      <c r="E107" s="13" t="e">
        <f>IFERROR(E106*(1+Simulador!$G$12)+C107,NA())</f>
        <v>#N/A</v>
      </c>
      <c r="F107" s="13" t="e">
        <f>IFERROR(E107*Simulador!$B$11/12,NA())</f>
        <v>#N/A</v>
      </c>
    </row>
    <row r="108" spans="1:6" ht="18" customHeight="1">
      <c r="A108" s="1" t="e">
        <f>IF(ROW()-4&lt;=Simulador!$B$9*12,ROW()-4,NA())</f>
        <v>#N/A</v>
      </c>
      <c r="B108" s="10" t="e">
        <f t="shared" ca="1" si="2"/>
        <v>#N/A</v>
      </c>
      <c r="C108" s="13" t="e">
        <f>IFERROR(Simulador!$B$7*(1+Simulador!$B$12)^INT((A108-1)/12),NA())</f>
        <v>#N/A</v>
      </c>
      <c r="D108" s="13" t="e">
        <f t="shared" si="3"/>
        <v>#N/A</v>
      </c>
      <c r="E108" s="13" t="e">
        <f>IFERROR(E107*(1+Simulador!$G$12)+C108,NA())</f>
        <v>#N/A</v>
      </c>
      <c r="F108" s="13" t="e">
        <f>IFERROR(E108*Simulador!$B$11/12,NA())</f>
        <v>#N/A</v>
      </c>
    </row>
    <row r="109" spans="1:6" ht="18" customHeight="1">
      <c r="A109" s="1" t="e">
        <f>IF(ROW()-4&lt;=Simulador!$B$9*12,ROW()-4,NA())</f>
        <v>#N/A</v>
      </c>
      <c r="B109" s="10" t="e">
        <f t="shared" ca="1" si="2"/>
        <v>#N/A</v>
      </c>
      <c r="C109" s="13" t="e">
        <f>IFERROR(Simulador!$B$7*(1+Simulador!$B$12)^INT((A109-1)/12),NA())</f>
        <v>#N/A</v>
      </c>
      <c r="D109" s="13" t="e">
        <f t="shared" si="3"/>
        <v>#N/A</v>
      </c>
      <c r="E109" s="13" t="e">
        <f>IFERROR(E108*(1+Simulador!$G$12)+C109,NA())</f>
        <v>#N/A</v>
      </c>
      <c r="F109" s="13" t="e">
        <f>IFERROR(E109*Simulador!$B$11/12,NA())</f>
        <v>#N/A</v>
      </c>
    </row>
    <row r="110" spans="1:6" ht="18" customHeight="1">
      <c r="A110" s="1" t="e">
        <f>IF(ROW()-4&lt;=Simulador!$B$9*12,ROW()-4,NA())</f>
        <v>#N/A</v>
      </c>
      <c r="B110" s="10" t="e">
        <f t="shared" ca="1" si="2"/>
        <v>#N/A</v>
      </c>
      <c r="C110" s="13" t="e">
        <f>IFERROR(Simulador!$B$7*(1+Simulador!$B$12)^INT((A110-1)/12),NA())</f>
        <v>#N/A</v>
      </c>
      <c r="D110" s="13" t="e">
        <f t="shared" si="3"/>
        <v>#N/A</v>
      </c>
      <c r="E110" s="13" t="e">
        <f>IFERROR(E109*(1+Simulador!$G$12)+C110,NA())</f>
        <v>#N/A</v>
      </c>
      <c r="F110" s="13" t="e">
        <f>IFERROR(E110*Simulador!$B$11/12,NA())</f>
        <v>#N/A</v>
      </c>
    </row>
    <row r="111" spans="1:6" ht="18" customHeight="1">
      <c r="A111" s="1" t="e">
        <f>IF(ROW()-4&lt;=Simulador!$B$9*12,ROW()-4,NA())</f>
        <v>#N/A</v>
      </c>
      <c r="B111" s="10" t="e">
        <f t="shared" ca="1" si="2"/>
        <v>#N/A</v>
      </c>
      <c r="C111" s="13" t="e">
        <f>IFERROR(Simulador!$B$7*(1+Simulador!$B$12)^INT((A111-1)/12),NA())</f>
        <v>#N/A</v>
      </c>
      <c r="D111" s="13" t="e">
        <f t="shared" si="3"/>
        <v>#N/A</v>
      </c>
      <c r="E111" s="13" t="e">
        <f>IFERROR(E110*(1+Simulador!$G$12)+C111,NA())</f>
        <v>#N/A</v>
      </c>
      <c r="F111" s="13" t="e">
        <f>IFERROR(E111*Simulador!$B$11/12,NA())</f>
        <v>#N/A</v>
      </c>
    </row>
    <row r="112" spans="1:6" ht="18" customHeight="1">
      <c r="A112" s="1" t="e">
        <f>IF(ROW()-4&lt;=Simulador!$B$9*12,ROW()-4,NA())</f>
        <v>#N/A</v>
      </c>
      <c r="B112" s="10" t="e">
        <f t="shared" ca="1" si="2"/>
        <v>#N/A</v>
      </c>
      <c r="C112" s="13" t="e">
        <f>IFERROR(Simulador!$B$7*(1+Simulador!$B$12)^INT((A112-1)/12),NA())</f>
        <v>#N/A</v>
      </c>
      <c r="D112" s="13" t="e">
        <f t="shared" si="3"/>
        <v>#N/A</v>
      </c>
      <c r="E112" s="13" t="e">
        <f>IFERROR(E111*(1+Simulador!$G$12)+C112,NA())</f>
        <v>#N/A</v>
      </c>
      <c r="F112" s="13" t="e">
        <f>IFERROR(E112*Simulador!$B$11/12,NA())</f>
        <v>#N/A</v>
      </c>
    </row>
    <row r="113" spans="1:6" ht="18" customHeight="1">
      <c r="A113" s="1" t="e">
        <f>IF(ROW()-4&lt;=Simulador!$B$9*12,ROW()-4,NA())</f>
        <v>#N/A</v>
      </c>
      <c r="B113" s="10" t="e">
        <f t="shared" ca="1" si="2"/>
        <v>#N/A</v>
      </c>
      <c r="C113" s="13" t="e">
        <f>IFERROR(Simulador!$B$7*(1+Simulador!$B$12)^INT((A113-1)/12),NA())</f>
        <v>#N/A</v>
      </c>
      <c r="D113" s="13" t="e">
        <f t="shared" si="3"/>
        <v>#N/A</v>
      </c>
      <c r="E113" s="13" t="e">
        <f>IFERROR(E112*(1+Simulador!$G$12)+C113,NA())</f>
        <v>#N/A</v>
      </c>
      <c r="F113" s="13" t="e">
        <f>IFERROR(E113*Simulador!$B$11/12,NA())</f>
        <v>#N/A</v>
      </c>
    </row>
    <row r="114" spans="1:6" ht="18" customHeight="1">
      <c r="A114" s="1" t="e">
        <f>IF(ROW()-4&lt;=Simulador!$B$9*12,ROW()-4,NA())</f>
        <v>#N/A</v>
      </c>
      <c r="B114" s="10" t="e">
        <f t="shared" ca="1" si="2"/>
        <v>#N/A</v>
      </c>
      <c r="C114" s="13" t="e">
        <f>IFERROR(Simulador!$B$7*(1+Simulador!$B$12)^INT((A114-1)/12),NA())</f>
        <v>#N/A</v>
      </c>
      <c r="D114" s="13" t="e">
        <f t="shared" si="3"/>
        <v>#N/A</v>
      </c>
      <c r="E114" s="13" t="e">
        <f>IFERROR(E113*(1+Simulador!$G$12)+C114,NA())</f>
        <v>#N/A</v>
      </c>
      <c r="F114" s="13" t="e">
        <f>IFERROR(E114*Simulador!$B$11/12,NA())</f>
        <v>#N/A</v>
      </c>
    </row>
    <row r="115" spans="1:6" ht="18" customHeight="1">
      <c r="A115" s="1" t="e">
        <f>IF(ROW()-4&lt;=Simulador!$B$9*12,ROW()-4,NA())</f>
        <v>#N/A</v>
      </c>
      <c r="B115" s="10" t="e">
        <f t="shared" ca="1" si="2"/>
        <v>#N/A</v>
      </c>
      <c r="C115" s="13" t="e">
        <f>IFERROR(Simulador!$B$7*(1+Simulador!$B$12)^INT((A115-1)/12),NA())</f>
        <v>#N/A</v>
      </c>
      <c r="D115" s="13" t="e">
        <f t="shared" si="3"/>
        <v>#N/A</v>
      </c>
      <c r="E115" s="13" t="e">
        <f>IFERROR(E114*(1+Simulador!$G$12)+C115,NA())</f>
        <v>#N/A</v>
      </c>
      <c r="F115" s="13" t="e">
        <f>IFERROR(E115*Simulador!$B$11/12,NA())</f>
        <v>#N/A</v>
      </c>
    </row>
    <row r="116" spans="1:6" ht="18" customHeight="1">
      <c r="A116" s="1" t="e">
        <f>IF(ROW()-4&lt;=Simulador!$B$9*12,ROW()-4,NA())</f>
        <v>#N/A</v>
      </c>
      <c r="B116" s="10" t="e">
        <f t="shared" ca="1" si="2"/>
        <v>#N/A</v>
      </c>
      <c r="C116" s="13" t="e">
        <f>IFERROR(Simulador!$B$7*(1+Simulador!$B$12)^INT((A116-1)/12),NA())</f>
        <v>#N/A</v>
      </c>
      <c r="D116" s="13" t="e">
        <f t="shared" si="3"/>
        <v>#N/A</v>
      </c>
      <c r="E116" s="13" t="e">
        <f>IFERROR(E115*(1+Simulador!$G$12)+C116,NA())</f>
        <v>#N/A</v>
      </c>
      <c r="F116" s="13" t="e">
        <f>IFERROR(E116*Simulador!$B$11/12,NA())</f>
        <v>#N/A</v>
      </c>
    </row>
    <row r="117" spans="1:6" ht="18" customHeight="1">
      <c r="A117" s="1" t="e">
        <f>IF(ROW()-4&lt;=Simulador!$B$9*12,ROW()-4,NA())</f>
        <v>#N/A</v>
      </c>
      <c r="B117" s="10" t="e">
        <f t="shared" ca="1" si="2"/>
        <v>#N/A</v>
      </c>
      <c r="C117" s="13" t="e">
        <f>IFERROR(Simulador!$B$7*(1+Simulador!$B$12)^INT((A117-1)/12),NA())</f>
        <v>#N/A</v>
      </c>
      <c r="D117" s="13" t="e">
        <f t="shared" si="3"/>
        <v>#N/A</v>
      </c>
      <c r="E117" s="13" t="e">
        <f>IFERROR(E116*(1+Simulador!$G$12)+C117,NA())</f>
        <v>#N/A</v>
      </c>
      <c r="F117" s="13" t="e">
        <f>IFERROR(E117*Simulador!$B$11/12,NA())</f>
        <v>#N/A</v>
      </c>
    </row>
    <row r="118" spans="1:6" ht="18" customHeight="1">
      <c r="A118" s="1" t="e">
        <f>IF(ROW()-4&lt;=Simulador!$B$9*12,ROW()-4,NA())</f>
        <v>#N/A</v>
      </c>
      <c r="B118" s="10" t="e">
        <f t="shared" ca="1" si="2"/>
        <v>#N/A</v>
      </c>
      <c r="C118" s="13" t="e">
        <f>IFERROR(Simulador!$B$7*(1+Simulador!$B$12)^INT((A118-1)/12),NA())</f>
        <v>#N/A</v>
      </c>
      <c r="D118" s="13" t="e">
        <f t="shared" si="3"/>
        <v>#N/A</v>
      </c>
      <c r="E118" s="13" t="e">
        <f>IFERROR(E117*(1+Simulador!$G$12)+C118,NA())</f>
        <v>#N/A</v>
      </c>
      <c r="F118" s="13" t="e">
        <f>IFERROR(E118*Simulador!$B$11/12,NA())</f>
        <v>#N/A</v>
      </c>
    </row>
    <row r="119" spans="1:6" ht="18" customHeight="1">
      <c r="A119" s="1" t="e">
        <f>IF(ROW()-4&lt;=Simulador!$B$9*12,ROW()-4,NA())</f>
        <v>#N/A</v>
      </c>
      <c r="B119" s="10" t="e">
        <f t="shared" ca="1" si="2"/>
        <v>#N/A</v>
      </c>
      <c r="C119" s="13" t="e">
        <f>IFERROR(Simulador!$B$7*(1+Simulador!$B$12)^INT((A119-1)/12),NA())</f>
        <v>#N/A</v>
      </c>
      <c r="D119" s="13" t="e">
        <f t="shared" si="3"/>
        <v>#N/A</v>
      </c>
      <c r="E119" s="13" t="e">
        <f>IFERROR(E118*(1+Simulador!$G$12)+C119,NA())</f>
        <v>#N/A</v>
      </c>
      <c r="F119" s="13" t="e">
        <f>IFERROR(E119*Simulador!$B$11/12,NA())</f>
        <v>#N/A</v>
      </c>
    </row>
    <row r="120" spans="1:6" ht="18" customHeight="1">
      <c r="A120" s="1" t="e">
        <f>IF(ROW()-4&lt;=Simulador!$B$9*12,ROW()-4,NA())</f>
        <v>#N/A</v>
      </c>
      <c r="B120" s="10" t="e">
        <f t="shared" ca="1" si="2"/>
        <v>#N/A</v>
      </c>
      <c r="C120" s="13" t="e">
        <f>IFERROR(Simulador!$B$7*(1+Simulador!$B$12)^INT((A120-1)/12),NA())</f>
        <v>#N/A</v>
      </c>
      <c r="D120" s="13" t="e">
        <f t="shared" si="3"/>
        <v>#N/A</v>
      </c>
      <c r="E120" s="13" t="e">
        <f>IFERROR(E119*(1+Simulador!$G$12)+C120,NA())</f>
        <v>#N/A</v>
      </c>
      <c r="F120" s="13" t="e">
        <f>IFERROR(E120*Simulador!$B$11/12,NA())</f>
        <v>#N/A</v>
      </c>
    </row>
    <row r="121" spans="1:6" ht="18" customHeight="1">
      <c r="A121" s="1" t="e">
        <f>IF(ROW()-4&lt;=Simulador!$B$9*12,ROW()-4,NA())</f>
        <v>#N/A</v>
      </c>
      <c r="B121" s="10" t="e">
        <f t="shared" ca="1" si="2"/>
        <v>#N/A</v>
      </c>
      <c r="C121" s="13" t="e">
        <f>IFERROR(Simulador!$B$7*(1+Simulador!$B$12)^INT((A121-1)/12),NA())</f>
        <v>#N/A</v>
      </c>
      <c r="D121" s="13" t="e">
        <f t="shared" si="3"/>
        <v>#N/A</v>
      </c>
      <c r="E121" s="13" t="e">
        <f>IFERROR(E120*(1+Simulador!$G$12)+C121,NA())</f>
        <v>#N/A</v>
      </c>
      <c r="F121" s="13" t="e">
        <f>IFERROR(E121*Simulador!$B$11/12,NA())</f>
        <v>#N/A</v>
      </c>
    </row>
    <row r="122" spans="1:6" ht="18" customHeight="1">
      <c r="A122" s="1" t="e">
        <f>IF(ROW()-4&lt;=Simulador!$B$9*12,ROW()-4,NA())</f>
        <v>#N/A</v>
      </c>
      <c r="B122" s="10" t="e">
        <f t="shared" ca="1" si="2"/>
        <v>#N/A</v>
      </c>
      <c r="C122" s="13" t="e">
        <f>IFERROR(Simulador!$B$7*(1+Simulador!$B$12)^INT((A122-1)/12),NA())</f>
        <v>#N/A</v>
      </c>
      <c r="D122" s="13" t="e">
        <f t="shared" si="3"/>
        <v>#N/A</v>
      </c>
      <c r="E122" s="13" t="e">
        <f>IFERROR(E121*(1+Simulador!$G$12)+C122,NA())</f>
        <v>#N/A</v>
      </c>
      <c r="F122" s="13" t="e">
        <f>IFERROR(E122*Simulador!$B$11/12,NA())</f>
        <v>#N/A</v>
      </c>
    </row>
    <row r="123" spans="1:6" ht="18" customHeight="1">
      <c r="A123" s="1" t="e">
        <f>IF(ROW()-4&lt;=Simulador!$B$9*12,ROW()-4,NA())</f>
        <v>#N/A</v>
      </c>
      <c r="B123" s="10" t="e">
        <f t="shared" ca="1" si="2"/>
        <v>#N/A</v>
      </c>
      <c r="C123" s="13" t="e">
        <f>IFERROR(Simulador!$B$7*(1+Simulador!$B$12)^INT((A123-1)/12),NA())</f>
        <v>#N/A</v>
      </c>
      <c r="D123" s="13" t="e">
        <f t="shared" si="3"/>
        <v>#N/A</v>
      </c>
      <c r="E123" s="13" t="e">
        <f>IFERROR(E122*(1+Simulador!$G$12)+C123,NA())</f>
        <v>#N/A</v>
      </c>
      <c r="F123" s="13" t="e">
        <f>IFERROR(E123*Simulador!$B$11/12,NA())</f>
        <v>#N/A</v>
      </c>
    </row>
    <row r="124" spans="1:6" ht="18" customHeight="1">
      <c r="A124" s="1" t="e">
        <f>IF(ROW()-4&lt;=Simulador!$B$9*12,ROW()-4,NA())</f>
        <v>#N/A</v>
      </c>
      <c r="B124" s="10" t="e">
        <f t="shared" ca="1" si="2"/>
        <v>#N/A</v>
      </c>
      <c r="C124" s="13" t="e">
        <f>IFERROR(Simulador!$B$7*(1+Simulador!$B$12)^INT((A124-1)/12),NA())</f>
        <v>#N/A</v>
      </c>
      <c r="D124" s="13" t="e">
        <f t="shared" si="3"/>
        <v>#N/A</v>
      </c>
      <c r="E124" s="13" t="e">
        <f>IFERROR(E123*(1+Simulador!$G$12)+C124,NA())</f>
        <v>#N/A</v>
      </c>
      <c r="F124" s="13" t="e">
        <f>IFERROR(E124*Simulador!$B$11/12,NA())</f>
        <v>#N/A</v>
      </c>
    </row>
    <row r="125" spans="1:6" ht="18" customHeight="1">
      <c r="A125" s="1" t="e">
        <f>IF(ROW()-4&lt;=Simulador!$B$9*12,ROW()-4,NA())</f>
        <v>#N/A</v>
      </c>
      <c r="B125" s="10" t="e">
        <f t="shared" ca="1" si="2"/>
        <v>#N/A</v>
      </c>
      <c r="C125" s="13" t="e">
        <f>IFERROR(Simulador!$B$7*(1+Simulador!$B$12)^INT((A125-1)/12),NA())</f>
        <v>#N/A</v>
      </c>
      <c r="D125" s="13" t="e">
        <f t="shared" si="3"/>
        <v>#N/A</v>
      </c>
      <c r="E125" s="13" t="e">
        <f>IFERROR(E124*(1+Simulador!$G$12)+C125,NA())</f>
        <v>#N/A</v>
      </c>
      <c r="F125" s="13" t="e">
        <f>IFERROR(E125*Simulador!$B$11/12,NA())</f>
        <v>#N/A</v>
      </c>
    </row>
    <row r="126" spans="1:6" ht="18" customHeight="1">
      <c r="A126" s="1" t="e">
        <f>IF(ROW()-4&lt;=Simulador!$B$9*12,ROW()-4,NA())</f>
        <v>#N/A</v>
      </c>
      <c r="B126" s="10" t="e">
        <f t="shared" ca="1" si="2"/>
        <v>#N/A</v>
      </c>
      <c r="C126" s="13" t="e">
        <f>IFERROR(Simulador!$B$7*(1+Simulador!$B$12)^INT((A126-1)/12),NA())</f>
        <v>#N/A</v>
      </c>
      <c r="D126" s="13" t="e">
        <f t="shared" si="3"/>
        <v>#N/A</v>
      </c>
      <c r="E126" s="13" t="e">
        <f>IFERROR(E125*(1+Simulador!$G$12)+C126,NA())</f>
        <v>#N/A</v>
      </c>
      <c r="F126" s="13" t="e">
        <f>IFERROR(E126*Simulador!$B$11/12,NA())</f>
        <v>#N/A</v>
      </c>
    </row>
    <row r="127" spans="1:6" ht="18" customHeight="1">
      <c r="A127" s="1" t="e">
        <f>IF(ROW()-4&lt;=Simulador!$B$9*12,ROW()-4,NA())</f>
        <v>#N/A</v>
      </c>
      <c r="B127" s="10" t="e">
        <f t="shared" ca="1" si="2"/>
        <v>#N/A</v>
      </c>
      <c r="C127" s="13" t="e">
        <f>IFERROR(Simulador!$B$7*(1+Simulador!$B$12)^INT((A127-1)/12),NA())</f>
        <v>#N/A</v>
      </c>
      <c r="D127" s="13" t="e">
        <f t="shared" si="3"/>
        <v>#N/A</v>
      </c>
      <c r="E127" s="13" t="e">
        <f>IFERROR(E126*(1+Simulador!$G$12)+C127,NA())</f>
        <v>#N/A</v>
      </c>
      <c r="F127" s="13" t="e">
        <f>IFERROR(E127*Simulador!$B$11/12,NA())</f>
        <v>#N/A</v>
      </c>
    </row>
    <row r="128" spans="1:6" ht="18" customHeight="1">
      <c r="A128" s="1" t="e">
        <f>IF(ROW()-4&lt;=Simulador!$B$9*12,ROW()-4,NA())</f>
        <v>#N/A</v>
      </c>
      <c r="B128" s="10" t="e">
        <f t="shared" ca="1" si="2"/>
        <v>#N/A</v>
      </c>
      <c r="C128" s="13" t="e">
        <f>IFERROR(Simulador!$B$7*(1+Simulador!$B$12)^INT((A128-1)/12),NA())</f>
        <v>#N/A</v>
      </c>
      <c r="D128" s="13" t="e">
        <f t="shared" si="3"/>
        <v>#N/A</v>
      </c>
      <c r="E128" s="13" t="e">
        <f>IFERROR(E127*(1+Simulador!$G$12)+C128,NA())</f>
        <v>#N/A</v>
      </c>
      <c r="F128" s="13" t="e">
        <f>IFERROR(E128*Simulador!$B$11/12,NA())</f>
        <v>#N/A</v>
      </c>
    </row>
    <row r="129" spans="1:6" ht="18" customHeight="1">
      <c r="A129" s="1" t="e">
        <f>IF(ROW()-4&lt;=Simulador!$B$9*12,ROW()-4,NA())</f>
        <v>#N/A</v>
      </c>
      <c r="B129" s="10" t="e">
        <f t="shared" ca="1" si="2"/>
        <v>#N/A</v>
      </c>
      <c r="C129" s="13" t="e">
        <f>IFERROR(Simulador!$B$7*(1+Simulador!$B$12)^INT((A129-1)/12),NA())</f>
        <v>#N/A</v>
      </c>
      <c r="D129" s="13" t="e">
        <f t="shared" si="3"/>
        <v>#N/A</v>
      </c>
      <c r="E129" s="13" t="e">
        <f>IFERROR(E128*(1+Simulador!$G$12)+C129,NA())</f>
        <v>#N/A</v>
      </c>
      <c r="F129" s="13" t="e">
        <f>IFERROR(E129*Simulador!$B$11/12,NA())</f>
        <v>#N/A</v>
      </c>
    </row>
    <row r="130" spans="1:6" ht="18" customHeight="1">
      <c r="A130" s="1" t="e">
        <f>IF(ROW()-4&lt;=Simulador!$B$9*12,ROW()-4,NA())</f>
        <v>#N/A</v>
      </c>
      <c r="B130" s="10" t="e">
        <f t="shared" ca="1" si="2"/>
        <v>#N/A</v>
      </c>
      <c r="C130" s="13" t="e">
        <f>IFERROR(Simulador!$B$7*(1+Simulador!$B$12)^INT((A130-1)/12),NA())</f>
        <v>#N/A</v>
      </c>
      <c r="D130" s="13" t="e">
        <f t="shared" si="3"/>
        <v>#N/A</v>
      </c>
      <c r="E130" s="13" t="e">
        <f>IFERROR(E129*(1+Simulador!$G$12)+C130,NA())</f>
        <v>#N/A</v>
      </c>
      <c r="F130" s="13" t="e">
        <f>IFERROR(E130*Simulador!$B$11/12,NA())</f>
        <v>#N/A</v>
      </c>
    </row>
    <row r="131" spans="1:6" ht="18" customHeight="1">
      <c r="A131" s="1" t="e">
        <f>IF(ROW()-4&lt;=Simulador!$B$9*12,ROW()-4,NA())</f>
        <v>#N/A</v>
      </c>
      <c r="B131" s="10" t="e">
        <f t="shared" ca="1" si="2"/>
        <v>#N/A</v>
      </c>
      <c r="C131" s="13" t="e">
        <f>IFERROR(Simulador!$B$7*(1+Simulador!$B$12)^INT((A131-1)/12),NA())</f>
        <v>#N/A</v>
      </c>
      <c r="D131" s="13" t="e">
        <f t="shared" si="3"/>
        <v>#N/A</v>
      </c>
      <c r="E131" s="13" t="e">
        <f>IFERROR(E130*(1+Simulador!$G$12)+C131,NA())</f>
        <v>#N/A</v>
      </c>
      <c r="F131" s="13" t="e">
        <f>IFERROR(E131*Simulador!$B$11/12,NA())</f>
        <v>#N/A</v>
      </c>
    </row>
    <row r="132" spans="1:6" ht="18" customHeight="1">
      <c r="A132" s="1" t="e">
        <f>IF(ROW()-4&lt;=Simulador!$B$9*12,ROW()-4,NA())</f>
        <v>#N/A</v>
      </c>
      <c r="B132" s="10" t="e">
        <f t="shared" ca="1" si="2"/>
        <v>#N/A</v>
      </c>
      <c r="C132" s="13" t="e">
        <f>IFERROR(Simulador!$B$7*(1+Simulador!$B$12)^INT((A132-1)/12),NA())</f>
        <v>#N/A</v>
      </c>
      <c r="D132" s="13" t="e">
        <f t="shared" si="3"/>
        <v>#N/A</v>
      </c>
      <c r="E132" s="13" t="e">
        <f>IFERROR(E131*(1+Simulador!$G$12)+C132,NA())</f>
        <v>#N/A</v>
      </c>
      <c r="F132" s="13" t="e">
        <f>IFERROR(E132*Simulador!$B$11/12,NA())</f>
        <v>#N/A</v>
      </c>
    </row>
    <row r="133" spans="1:6" ht="18" customHeight="1">
      <c r="A133" s="1" t="e">
        <f>IF(ROW()-4&lt;=Simulador!$B$9*12,ROW()-4,NA())</f>
        <v>#N/A</v>
      </c>
      <c r="B133" s="10" t="e">
        <f t="shared" ca="1" si="2"/>
        <v>#N/A</v>
      </c>
      <c r="C133" s="13" t="e">
        <f>IFERROR(Simulador!$B$7*(1+Simulador!$B$12)^INT((A133-1)/12),NA())</f>
        <v>#N/A</v>
      </c>
      <c r="D133" s="13" t="e">
        <f t="shared" si="3"/>
        <v>#N/A</v>
      </c>
      <c r="E133" s="13" t="e">
        <f>IFERROR(E132*(1+Simulador!$G$12)+C133,NA())</f>
        <v>#N/A</v>
      </c>
      <c r="F133" s="13" t="e">
        <f>IFERROR(E133*Simulador!$B$11/12,NA())</f>
        <v>#N/A</v>
      </c>
    </row>
    <row r="134" spans="1:6" ht="18" customHeight="1">
      <c r="A134" s="1" t="e">
        <f>IF(ROW()-4&lt;=Simulador!$B$9*12,ROW()-4,NA())</f>
        <v>#N/A</v>
      </c>
      <c r="B134" s="10" t="e">
        <f t="shared" ref="B134:B197" ca="1" si="4">IFERROR(EDATE($B$4,A134),NA())</f>
        <v>#N/A</v>
      </c>
      <c r="C134" s="13" t="e">
        <f>IFERROR(Simulador!$B$7*(1+Simulador!$B$12)^INT((A134-1)/12),NA())</f>
        <v>#N/A</v>
      </c>
      <c r="D134" s="13" t="e">
        <f t="shared" ref="D134:D197" si="5">IFERROR(D133+C134,NA())</f>
        <v>#N/A</v>
      </c>
      <c r="E134" s="13" t="e">
        <f>IFERROR(E133*(1+Simulador!$G$12)+C134,NA())</f>
        <v>#N/A</v>
      </c>
      <c r="F134" s="13" t="e">
        <f>IFERROR(E134*Simulador!$B$11/12,NA())</f>
        <v>#N/A</v>
      </c>
    </row>
    <row r="135" spans="1:6" ht="18" customHeight="1">
      <c r="A135" s="1" t="e">
        <f>IF(ROW()-4&lt;=Simulador!$B$9*12,ROW()-4,NA())</f>
        <v>#N/A</v>
      </c>
      <c r="B135" s="10" t="e">
        <f t="shared" ca="1" si="4"/>
        <v>#N/A</v>
      </c>
      <c r="C135" s="13" t="e">
        <f>IFERROR(Simulador!$B$7*(1+Simulador!$B$12)^INT((A135-1)/12),NA())</f>
        <v>#N/A</v>
      </c>
      <c r="D135" s="13" t="e">
        <f t="shared" si="5"/>
        <v>#N/A</v>
      </c>
      <c r="E135" s="13" t="e">
        <f>IFERROR(E134*(1+Simulador!$G$12)+C135,NA())</f>
        <v>#N/A</v>
      </c>
      <c r="F135" s="13" t="e">
        <f>IFERROR(E135*Simulador!$B$11/12,NA())</f>
        <v>#N/A</v>
      </c>
    </row>
    <row r="136" spans="1:6" ht="18" customHeight="1">
      <c r="A136" s="1" t="e">
        <f>IF(ROW()-4&lt;=Simulador!$B$9*12,ROW()-4,NA())</f>
        <v>#N/A</v>
      </c>
      <c r="B136" s="10" t="e">
        <f t="shared" ca="1" si="4"/>
        <v>#N/A</v>
      </c>
      <c r="C136" s="13" t="e">
        <f>IFERROR(Simulador!$B$7*(1+Simulador!$B$12)^INT((A136-1)/12),NA())</f>
        <v>#N/A</v>
      </c>
      <c r="D136" s="13" t="e">
        <f t="shared" si="5"/>
        <v>#N/A</v>
      </c>
      <c r="E136" s="13" t="e">
        <f>IFERROR(E135*(1+Simulador!$G$12)+C136,NA())</f>
        <v>#N/A</v>
      </c>
      <c r="F136" s="13" t="e">
        <f>IFERROR(E136*Simulador!$B$11/12,NA())</f>
        <v>#N/A</v>
      </c>
    </row>
    <row r="137" spans="1:6" ht="18" customHeight="1">
      <c r="A137" s="1" t="e">
        <f>IF(ROW()-4&lt;=Simulador!$B$9*12,ROW()-4,NA())</f>
        <v>#N/A</v>
      </c>
      <c r="B137" s="10" t="e">
        <f t="shared" ca="1" si="4"/>
        <v>#N/A</v>
      </c>
      <c r="C137" s="13" t="e">
        <f>IFERROR(Simulador!$B$7*(1+Simulador!$B$12)^INT((A137-1)/12),NA())</f>
        <v>#N/A</v>
      </c>
      <c r="D137" s="13" t="e">
        <f t="shared" si="5"/>
        <v>#N/A</v>
      </c>
      <c r="E137" s="13" t="e">
        <f>IFERROR(E136*(1+Simulador!$G$12)+C137,NA())</f>
        <v>#N/A</v>
      </c>
      <c r="F137" s="13" t="e">
        <f>IFERROR(E137*Simulador!$B$11/12,NA())</f>
        <v>#N/A</v>
      </c>
    </row>
    <row r="138" spans="1:6" ht="18" customHeight="1">
      <c r="A138" s="1" t="e">
        <f>IF(ROW()-4&lt;=Simulador!$B$9*12,ROW()-4,NA())</f>
        <v>#N/A</v>
      </c>
      <c r="B138" s="10" t="e">
        <f t="shared" ca="1" si="4"/>
        <v>#N/A</v>
      </c>
      <c r="C138" s="13" t="e">
        <f>IFERROR(Simulador!$B$7*(1+Simulador!$B$12)^INT((A138-1)/12),NA())</f>
        <v>#N/A</v>
      </c>
      <c r="D138" s="13" t="e">
        <f t="shared" si="5"/>
        <v>#N/A</v>
      </c>
      <c r="E138" s="13" t="e">
        <f>IFERROR(E137*(1+Simulador!$G$12)+C138,NA())</f>
        <v>#N/A</v>
      </c>
      <c r="F138" s="13" t="e">
        <f>IFERROR(E138*Simulador!$B$11/12,NA())</f>
        <v>#N/A</v>
      </c>
    </row>
    <row r="139" spans="1:6" ht="18" customHeight="1">
      <c r="A139" s="1" t="e">
        <f>IF(ROW()-4&lt;=Simulador!$B$9*12,ROW()-4,NA())</f>
        <v>#N/A</v>
      </c>
      <c r="B139" s="10" t="e">
        <f t="shared" ca="1" si="4"/>
        <v>#N/A</v>
      </c>
      <c r="C139" s="13" t="e">
        <f>IFERROR(Simulador!$B$7*(1+Simulador!$B$12)^INT((A139-1)/12),NA())</f>
        <v>#N/A</v>
      </c>
      <c r="D139" s="13" t="e">
        <f t="shared" si="5"/>
        <v>#N/A</v>
      </c>
      <c r="E139" s="13" t="e">
        <f>IFERROR(E138*(1+Simulador!$G$12)+C139,NA())</f>
        <v>#N/A</v>
      </c>
      <c r="F139" s="13" t="e">
        <f>IFERROR(E139*Simulador!$B$11/12,NA())</f>
        <v>#N/A</v>
      </c>
    </row>
    <row r="140" spans="1:6" ht="18" customHeight="1">
      <c r="A140" s="1" t="e">
        <f>IF(ROW()-4&lt;=Simulador!$B$9*12,ROW()-4,NA())</f>
        <v>#N/A</v>
      </c>
      <c r="B140" s="10" t="e">
        <f t="shared" ca="1" si="4"/>
        <v>#N/A</v>
      </c>
      <c r="C140" s="13" t="e">
        <f>IFERROR(Simulador!$B$7*(1+Simulador!$B$12)^INT((A140-1)/12),NA())</f>
        <v>#N/A</v>
      </c>
      <c r="D140" s="13" t="e">
        <f t="shared" si="5"/>
        <v>#N/A</v>
      </c>
      <c r="E140" s="13" t="e">
        <f>IFERROR(E139*(1+Simulador!$G$12)+C140,NA())</f>
        <v>#N/A</v>
      </c>
      <c r="F140" s="13" t="e">
        <f>IFERROR(E140*Simulador!$B$11/12,NA())</f>
        <v>#N/A</v>
      </c>
    </row>
    <row r="141" spans="1:6" ht="18" customHeight="1">
      <c r="A141" s="1" t="e">
        <f>IF(ROW()-4&lt;=Simulador!$B$9*12,ROW()-4,NA())</f>
        <v>#N/A</v>
      </c>
      <c r="B141" s="10" t="e">
        <f t="shared" ca="1" si="4"/>
        <v>#N/A</v>
      </c>
      <c r="C141" s="13" t="e">
        <f>IFERROR(Simulador!$B$7*(1+Simulador!$B$12)^INT((A141-1)/12),NA())</f>
        <v>#N/A</v>
      </c>
      <c r="D141" s="13" t="e">
        <f t="shared" si="5"/>
        <v>#N/A</v>
      </c>
      <c r="E141" s="13" t="e">
        <f>IFERROR(E140*(1+Simulador!$G$12)+C141,NA())</f>
        <v>#N/A</v>
      </c>
      <c r="F141" s="13" t="e">
        <f>IFERROR(E141*Simulador!$B$11/12,NA())</f>
        <v>#N/A</v>
      </c>
    </row>
    <row r="142" spans="1:6" ht="18" customHeight="1">
      <c r="A142" s="1" t="e">
        <f>IF(ROW()-4&lt;=Simulador!$B$9*12,ROW()-4,NA())</f>
        <v>#N/A</v>
      </c>
      <c r="B142" s="10" t="e">
        <f t="shared" ca="1" si="4"/>
        <v>#N/A</v>
      </c>
      <c r="C142" s="13" t="e">
        <f>IFERROR(Simulador!$B$7*(1+Simulador!$B$12)^INT((A142-1)/12),NA())</f>
        <v>#N/A</v>
      </c>
      <c r="D142" s="13" t="e">
        <f t="shared" si="5"/>
        <v>#N/A</v>
      </c>
      <c r="E142" s="13" t="e">
        <f>IFERROR(E141*(1+Simulador!$G$12)+C142,NA())</f>
        <v>#N/A</v>
      </c>
      <c r="F142" s="13" t="e">
        <f>IFERROR(E142*Simulador!$B$11/12,NA())</f>
        <v>#N/A</v>
      </c>
    </row>
    <row r="143" spans="1:6" ht="18" customHeight="1">
      <c r="A143" s="1" t="e">
        <f>IF(ROW()-4&lt;=Simulador!$B$9*12,ROW()-4,NA())</f>
        <v>#N/A</v>
      </c>
      <c r="B143" s="10" t="e">
        <f t="shared" ca="1" si="4"/>
        <v>#N/A</v>
      </c>
      <c r="C143" s="13" t="e">
        <f>IFERROR(Simulador!$B$7*(1+Simulador!$B$12)^INT((A143-1)/12),NA())</f>
        <v>#N/A</v>
      </c>
      <c r="D143" s="13" t="e">
        <f t="shared" si="5"/>
        <v>#N/A</v>
      </c>
      <c r="E143" s="13" t="e">
        <f>IFERROR(E142*(1+Simulador!$G$12)+C143,NA())</f>
        <v>#N/A</v>
      </c>
      <c r="F143" s="13" t="e">
        <f>IFERROR(E143*Simulador!$B$11/12,NA())</f>
        <v>#N/A</v>
      </c>
    </row>
    <row r="144" spans="1:6" ht="18" customHeight="1">
      <c r="A144" s="1" t="e">
        <f>IF(ROW()-4&lt;=Simulador!$B$9*12,ROW()-4,NA())</f>
        <v>#N/A</v>
      </c>
      <c r="B144" s="10" t="e">
        <f t="shared" ca="1" si="4"/>
        <v>#N/A</v>
      </c>
      <c r="C144" s="13" t="e">
        <f>IFERROR(Simulador!$B$7*(1+Simulador!$B$12)^INT((A144-1)/12),NA())</f>
        <v>#N/A</v>
      </c>
      <c r="D144" s="13" t="e">
        <f t="shared" si="5"/>
        <v>#N/A</v>
      </c>
      <c r="E144" s="13" t="e">
        <f>IFERROR(E143*(1+Simulador!$G$12)+C144,NA())</f>
        <v>#N/A</v>
      </c>
      <c r="F144" s="13" t="e">
        <f>IFERROR(E144*Simulador!$B$11/12,NA())</f>
        <v>#N/A</v>
      </c>
    </row>
    <row r="145" spans="1:6" ht="18" customHeight="1">
      <c r="A145" s="1" t="e">
        <f>IF(ROW()-4&lt;=Simulador!$B$9*12,ROW()-4,NA())</f>
        <v>#N/A</v>
      </c>
      <c r="B145" s="10" t="e">
        <f t="shared" ca="1" si="4"/>
        <v>#N/A</v>
      </c>
      <c r="C145" s="13" t="e">
        <f>IFERROR(Simulador!$B$7*(1+Simulador!$B$12)^INT((A145-1)/12),NA())</f>
        <v>#N/A</v>
      </c>
      <c r="D145" s="13" t="e">
        <f t="shared" si="5"/>
        <v>#N/A</v>
      </c>
      <c r="E145" s="13" t="e">
        <f>IFERROR(E144*(1+Simulador!$G$12)+C145,NA())</f>
        <v>#N/A</v>
      </c>
      <c r="F145" s="13" t="e">
        <f>IFERROR(E145*Simulador!$B$11/12,NA())</f>
        <v>#N/A</v>
      </c>
    </row>
    <row r="146" spans="1:6" ht="18" customHeight="1">
      <c r="A146" s="1" t="e">
        <f>IF(ROW()-4&lt;=Simulador!$B$9*12,ROW()-4,NA())</f>
        <v>#N/A</v>
      </c>
      <c r="B146" s="10" t="e">
        <f t="shared" ca="1" si="4"/>
        <v>#N/A</v>
      </c>
      <c r="C146" s="13" t="e">
        <f>IFERROR(Simulador!$B$7*(1+Simulador!$B$12)^INT((A146-1)/12),NA())</f>
        <v>#N/A</v>
      </c>
      <c r="D146" s="13" t="e">
        <f t="shared" si="5"/>
        <v>#N/A</v>
      </c>
      <c r="E146" s="13" t="e">
        <f>IFERROR(E145*(1+Simulador!$G$12)+C146,NA())</f>
        <v>#N/A</v>
      </c>
      <c r="F146" s="13" t="e">
        <f>IFERROR(E146*Simulador!$B$11/12,NA())</f>
        <v>#N/A</v>
      </c>
    </row>
    <row r="147" spans="1:6" ht="18" customHeight="1">
      <c r="A147" s="1" t="e">
        <f>IF(ROW()-4&lt;=Simulador!$B$9*12,ROW()-4,NA())</f>
        <v>#N/A</v>
      </c>
      <c r="B147" s="10" t="e">
        <f t="shared" ca="1" si="4"/>
        <v>#N/A</v>
      </c>
      <c r="C147" s="13" t="e">
        <f>IFERROR(Simulador!$B$7*(1+Simulador!$B$12)^INT((A147-1)/12),NA())</f>
        <v>#N/A</v>
      </c>
      <c r="D147" s="13" t="e">
        <f t="shared" si="5"/>
        <v>#N/A</v>
      </c>
      <c r="E147" s="13" t="e">
        <f>IFERROR(E146*(1+Simulador!$G$12)+C147,NA())</f>
        <v>#N/A</v>
      </c>
      <c r="F147" s="13" t="e">
        <f>IFERROR(E147*Simulador!$B$11/12,NA())</f>
        <v>#N/A</v>
      </c>
    </row>
    <row r="148" spans="1:6" ht="18" customHeight="1">
      <c r="A148" s="1" t="e">
        <f>IF(ROW()-4&lt;=Simulador!$B$9*12,ROW()-4,NA())</f>
        <v>#N/A</v>
      </c>
      <c r="B148" s="10" t="e">
        <f t="shared" ca="1" si="4"/>
        <v>#N/A</v>
      </c>
      <c r="C148" s="13" t="e">
        <f>IFERROR(Simulador!$B$7*(1+Simulador!$B$12)^INT((A148-1)/12),NA())</f>
        <v>#N/A</v>
      </c>
      <c r="D148" s="13" t="e">
        <f t="shared" si="5"/>
        <v>#N/A</v>
      </c>
      <c r="E148" s="13" t="e">
        <f>IFERROR(E147*(1+Simulador!$G$12)+C148,NA())</f>
        <v>#N/A</v>
      </c>
      <c r="F148" s="13" t="e">
        <f>IFERROR(E148*Simulador!$B$11/12,NA())</f>
        <v>#N/A</v>
      </c>
    </row>
    <row r="149" spans="1:6" ht="18" customHeight="1">
      <c r="A149" s="1" t="e">
        <f>IF(ROW()-4&lt;=Simulador!$B$9*12,ROW()-4,NA())</f>
        <v>#N/A</v>
      </c>
      <c r="B149" s="10" t="e">
        <f t="shared" ca="1" si="4"/>
        <v>#N/A</v>
      </c>
      <c r="C149" s="13" t="e">
        <f>IFERROR(Simulador!$B$7*(1+Simulador!$B$12)^INT((A149-1)/12),NA())</f>
        <v>#N/A</v>
      </c>
      <c r="D149" s="13" t="e">
        <f t="shared" si="5"/>
        <v>#N/A</v>
      </c>
      <c r="E149" s="13" t="e">
        <f>IFERROR(E148*(1+Simulador!$G$12)+C149,NA())</f>
        <v>#N/A</v>
      </c>
      <c r="F149" s="13" t="e">
        <f>IFERROR(E149*Simulador!$B$11/12,NA())</f>
        <v>#N/A</v>
      </c>
    </row>
    <row r="150" spans="1:6" ht="18" customHeight="1">
      <c r="A150" s="1" t="e">
        <f>IF(ROW()-4&lt;=Simulador!$B$9*12,ROW()-4,NA())</f>
        <v>#N/A</v>
      </c>
      <c r="B150" s="10" t="e">
        <f t="shared" ca="1" si="4"/>
        <v>#N/A</v>
      </c>
      <c r="C150" s="13" t="e">
        <f>IFERROR(Simulador!$B$7*(1+Simulador!$B$12)^INT((A150-1)/12),NA())</f>
        <v>#N/A</v>
      </c>
      <c r="D150" s="13" t="e">
        <f t="shared" si="5"/>
        <v>#N/A</v>
      </c>
      <c r="E150" s="13" t="e">
        <f>IFERROR(E149*(1+Simulador!$G$12)+C150,NA())</f>
        <v>#N/A</v>
      </c>
      <c r="F150" s="13" t="e">
        <f>IFERROR(E150*Simulador!$B$11/12,NA())</f>
        <v>#N/A</v>
      </c>
    </row>
    <row r="151" spans="1:6" ht="18" customHeight="1">
      <c r="A151" s="1" t="e">
        <f>IF(ROW()-4&lt;=Simulador!$B$9*12,ROW()-4,NA())</f>
        <v>#N/A</v>
      </c>
      <c r="B151" s="10" t="e">
        <f t="shared" ca="1" si="4"/>
        <v>#N/A</v>
      </c>
      <c r="C151" s="13" t="e">
        <f>IFERROR(Simulador!$B$7*(1+Simulador!$B$12)^INT((A151-1)/12),NA())</f>
        <v>#N/A</v>
      </c>
      <c r="D151" s="13" t="e">
        <f t="shared" si="5"/>
        <v>#N/A</v>
      </c>
      <c r="E151" s="13" t="e">
        <f>IFERROR(E150*(1+Simulador!$G$12)+C151,NA())</f>
        <v>#N/A</v>
      </c>
      <c r="F151" s="13" t="e">
        <f>IFERROR(E151*Simulador!$B$11/12,NA())</f>
        <v>#N/A</v>
      </c>
    </row>
    <row r="152" spans="1:6" ht="18" customHeight="1">
      <c r="A152" s="1" t="e">
        <f>IF(ROW()-4&lt;=Simulador!$B$9*12,ROW()-4,NA())</f>
        <v>#N/A</v>
      </c>
      <c r="B152" s="10" t="e">
        <f t="shared" ca="1" si="4"/>
        <v>#N/A</v>
      </c>
      <c r="C152" s="13" t="e">
        <f>IFERROR(Simulador!$B$7*(1+Simulador!$B$12)^INT((A152-1)/12),NA())</f>
        <v>#N/A</v>
      </c>
      <c r="D152" s="13" t="e">
        <f t="shared" si="5"/>
        <v>#N/A</v>
      </c>
      <c r="E152" s="13" t="e">
        <f>IFERROR(E151*(1+Simulador!$G$12)+C152,NA())</f>
        <v>#N/A</v>
      </c>
      <c r="F152" s="13" t="e">
        <f>IFERROR(E152*Simulador!$B$11/12,NA())</f>
        <v>#N/A</v>
      </c>
    </row>
    <row r="153" spans="1:6" ht="18" customHeight="1">
      <c r="A153" s="1" t="e">
        <f>IF(ROW()-4&lt;=Simulador!$B$9*12,ROW()-4,NA())</f>
        <v>#N/A</v>
      </c>
      <c r="B153" s="10" t="e">
        <f t="shared" ca="1" si="4"/>
        <v>#N/A</v>
      </c>
      <c r="C153" s="13" t="e">
        <f>IFERROR(Simulador!$B$7*(1+Simulador!$B$12)^INT((A153-1)/12),NA())</f>
        <v>#N/A</v>
      </c>
      <c r="D153" s="13" t="e">
        <f t="shared" si="5"/>
        <v>#N/A</v>
      </c>
      <c r="E153" s="13" t="e">
        <f>IFERROR(E152*(1+Simulador!$G$12)+C153,NA())</f>
        <v>#N/A</v>
      </c>
      <c r="F153" s="13" t="e">
        <f>IFERROR(E153*Simulador!$B$11/12,NA())</f>
        <v>#N/A</v>
      </c>
    </row>
    <row r="154" spans="1:6" ht="18" customHeight="1">
      <c r="A154" s="1" t="e">
        <f>IF(ROW()-4&lt;=Simulador!$B$9*12,ROW()-4,NA())</f>
        <v>#N/A</v>
      </c>
      <c r="B154" s="10" t="e">
        <f t="shared" ca="1" si="4"/>
        <v>#N/A</v>
      </c>
      <c r="C154" s="13" t="e">
        <f>IFERROR(Simulador!$B$7*(1+Simulador!$B$12)^INT((A154-1)/12),NA())</f>
        <v>#N/A</v>
      </c>
      <c r="D154" s="13" t="e">
        <f t="shared" si="5"/>
        <v>#N/A</v>
      </c>
      <c r="E154" s="13" t="e">
        <f>IFERROR(E153*(1+Simulador!$G$12)+C154,NA())</f>
        <v>#N/A</v>
      </c>
      <c r="F154" s="13" t="e">
        <f>IFERROR(E154*Simulador!$B$11/12,NA())</f>
        <v>#N/A</v>
      </c>
    </row>
    <row r="155" spans="1:6" ht="18" customHeight="1">
      <c r="A155" s="1" t="e">
        <f>IF(ROW()-4&lt;=Simulador!$B$9*12,ROW()-4,NA())</f>
        <v>#N/A</v>
      </c>
      <c r="B155" s="10" t="e">
        <f t="shared" ca="1" si="4"/>
        <v>#N/A</v>
      </c>
      <c r="C155" s="13" t="e">
        <f>IFERROR(Simulador!$B$7*(1+Simulador!$B$12)^INT((A155-1)/12),NA())</f>
        <v>#N/A</v>
      </c>
      <c r="D155" s="13" t="e">
        <f t="shared" si="5"/>
        <v>#N/A</v>
      </c>
      <c r="E155" s="13" t="e">
        <f>IFERROR(E154*(1+Simulador!$G$12)+C155,NA())</f>
        <v>#N/A</v>
      </c>
      <c r="F155" s="13" t="e">
        <f>IFERROR(E155*Simulador!$B$11/12,NA())</f>
        <v>#N/A</v>
      </c>
    </row>
    <row r="156" spans="1:6" ht="18" customHeight="1">
      <c r="A156" s="1" t="e">
        <f>IF(ROW()-4&lt;=Simulador!$B$9*12,ROW()-4,NA())</f>
        <v>#N/A</v>
      </c>
      <c r="B156" s="10" t="e">
        <f t="shared" ca="1" si="4"/>
        <v>#N/A</v>
      </c>
      <c r="C156" s="13" t="e">
        <f>IFERROR(Simulador!$B$7*(1+Simulador!$B$12)^INT((A156-1)/12),NA())</f>
        <v>#N/A</v>
      </c>
      <c r="D156" s="13" t="e">
        <f t="shared" si="5"/>
        <v>#N/A</v>
      </c>
      <c r="E156" s="13" t="e">
        <f>IFERROR(E155*(1+Simulador!$G$12)+C156,NA())</f>
        <v>#N/A</v>
      </c>
      <c r="F156" s="13" t="e">
        <f>IFERROR(E156*Simulador!$B$11/12,NA())</f>
        <v>#N/A</v>
      </c>
    </row>
    <row r="157" spans="1:6" ht="18" customHeight="1">
      <c r="A157" s="1" t="e">
        <f>IF(ROW()-4&lt;=Simulador!$B$9*12,ROW()-4,NA())</f>
        <v>#N/A</v>
      </c>
      <c r="B157" s="10" t="e">
        <f t="shared" ca="1" si="4"/>
        <v>#N/A</v>
      </c>
      <c r="C157" s="13" t="e">
        <f>IFERROR(Simulador!$B$7*(1+Simulador!$B$12)^INT((A157-1)/12),NA())</f>
        <v>#N/A</v>
      </c>
      <c r="D157" s="13" t="e">
        <f t="shared" si="5"/>
        <v>#N/A</v>
      </c>
      <c r="E157" s="13" t="e">
        <f>IFERROR(E156*(1+Simulador!$G$12)+C157,NA())</f>
        <v>#N/A</v>
      </c>
      <c r="F157" s="13" t="e">
        <f>IFERROR(E157*Simulador!$B$11/12,NA())</f>
        <v>#N/A</v>
      </c>
    </row>
    <row r="158" spans="1:6" ht="18" customHeight="1">
      <c r="A158" s="1" t="e">
        <f>IF(ROW()-4&lt;=Simulador!$B$9*12,ROW()-4,NA())</f>
        <v>#N/A</v>
      </c>
      <c r="B158" s="10" t="e">
        <f t="shared" ca="1" si="4"/>
        <v>#N/A</v>
      </c>
      <c r="C158" s="13" t="e">
        <f>IFERROR(Simulador!$B$7*(1+Simulador!$B$12)^INT((A158-1)/12),NA())</f>
        <v>#N/A</v>
      </c>
      <c r="D158" s="13" t="e">
        <f t="shared" si="5"/>
        <v>#N/A</v>
      </c>
      <c r="E158" s="13" t="e">
        <f>IFERROR(E157*(1+Simulador!$G$12)+C158,NA())</f>
        <v>#N/A</v>
      </c>
      <c r="F158" s="13" t="e">
        <f>IFERROR(E158*Simulador!$B$11/12,NA())</f>
        <v>#N/A</v>
      </c>
    </row>
    <row r="159" spans="1:6" ht="18" customHeight="1">
      <c r="A159" s="1" t="e">
        <f>IF(ROW()-4&lt;=Simulador!$B$9*12,ROW()-4,NA())</f>
        <v>#N/A</v>
      </c>
      <c r="B159" s="10" t="e">
        <f t="shared" ca="1" si="4"/>
        <v>#N/A</v>
      </c>
      <c r="C159" s="13" t="e">
        <f>IFERROR(Simulador!$B$7*(1+Simulador!$B$12)^INT((A159-1)/12),NA())</f>
        <v>#N/A</v>
      </c>
      <c r="D159" s="13" t="e">
        <f t="shared" si="5"/>
        <v>#N/A</v>
      </c>
      <c r="E159" s="13" t="e">
        <f>IFERROR(E158*(1+Simulador!$G$12)+C159,NA())</f>
        <v>#N/A</v>
      </c>
      <c r="F159" s="13" t="e">
        <f>IFERROR(E159*Simulador!$B$11/12,NA())</f>
        <v>#N/A</v>
      </c>
    </row>
    <row r="160" spans="1:6" ht="18" customHeight="1">
      <c r="A160" s="1" t="e">
        <f>IF(ROW()-4&lt;=Simulador!$B$9*12,ROW()-4,NA())</f>
        <v>#N/A</v>
      </c>
      <c r="B160" s="10" t="e">
        <f t="shared" ca="1" si="4"/>
        <v>#N/A</v>
      </c>
      <c r="C160" s="13" t="e">
        <f>IFERROR(Simulador!$B$7*(1+Simulador!$B$12)^INT((A160-1)/12),NA())</f>
        <v>#N/A</v>
      </c>
      <c r="D160" s="13" t="e">
        <f t="shared" si="5"/>
        <v>#N/A</v>
      </c>
      <c r="E160" s="13" t="e">
        <f>IFERROR(E159*(1+Simulador!$G$12)+C160,NA())</f>
        <v>#N/A</v>
      </c>
      <c r="F160" s="13" t="e">
        <f>IFERROR(E160*Simulador!$B$11/12,NA())</f>
        <v>#N/A</v>
      </c>
    </row>
    <row r="161" spans="1:6" ht="18" customHeight="1">
      <c r="A161" s="1" t="e">
        <f>IF(ROW()-4&lt;=Simulador!$B$9*12,ROW()-4,NA())</f>
        <v>#N/A</v>
      </c>
      <c r="B161" s="10" t="e">
        <f t="shared" ca="1" si="4"/>
        <v>#N/A</v>
      </c>
      <c r="C161" s="13" t="e">
        <f>IFERROR(Simulador!$B$7*(1+Simulador!$B$12)^INT((A161-1)/12),NA())</f>
        <v>#N/A</v>
      </c>
      <c r="D161" s="13" t="e">
        <f t="shared" si="5"/>
        <v>#N/A</v>
      </c>
      <c r="E161" s="13" t="e">
        <f>IFERROR(E160*(1+Simulador!$G$12)+C161,NA())</f>
        <v>#N/A</v>
      </c>
      <c r="F161" s="13" t="e">
        <f>IFERROR(E161*Simulador!$B$11/12,NA())</f>
        <v>#N/A</v>
      </c>
    </row>
    <row r="162" spans="1:6" ht="18" customHeight="1">
      <c r="A162" s="1" t="e">
        <f>IF(ROW()-4&lt;=Simulador!$B$9*12,ROW()-4,NA())</f>
        <v>#N/A</v>
      </c>
      <c r="B162" s="10" t="e">
        <f t="shared" ca="1" si="4"/>
        <v>#N/A</v>
      </c>
      <c r="C162" s="13" t="e">
        <f>IFERROR(Simulador!$B$7*(1+Simulador!$B$12)^INT((A162-1)/12),NA())</f>
        <v>#N/A</v>
      </c>
      <c r="D162" s="13" t="e">
        <f t="shared" si="5"/>
        <v>#N/A</v>
      </c>
      <c r="E162" s="13" t="e">
        <f>IFERROR(E161*(1+Simulador!$G$12)+C162,NA())</f>
        <v>#N/A</v>
      </c>
      <c r="F162" s="13" t="e">
        <f>IFERROR(E162*Simulador!$B$11/12,NA())</f>
        <v>#N/A</v>
      </c>
    </row>
    <row r="163" spans="1:6" ht="18" customHeight="1">
      <c r="A163" s="1" t="e">
        <f>IF(ROW()-4&lt;=Simulador!$B$9*12,ROW()-4,NA())</f>
        <v>#N/A</v>
      </c>
      <c r="B163" s="10" t="e">
        <f t="shared" ca="1" si="4"/>
        <v>#N/A</v>
      </c>
      <c r="C163" s="13" t="e">
        <f>IFERROR(Simulador!$B$7*(1+Simulador!$B$12)^INT((A163-1)/12),NA())</f>
        <v>#N/A</v>
      </c>
      <c r="D163" s="13" t="e">
        <f t="shared" si="5"/>
        <v>#N/A</v>
      </c>
      <c r="E163" s="13" t="e">
        <f>IFERROR(E162*(1+Simulador!$G$12)+C163,NA())</f>
        <v>#N/A</v>
      </c>
      <c r="F163" s="13" t="e">
        <f>IFERROR(E163*Simulador!$B$11/12,NA())</f>
        <v>#N/A</v>
      </c>
    </row>
    <row r="164" spans="1:6" ht="18" customHeight="1">
      <c r="A164" s="1" t="e">
        <f>IF(ROW()-4&lt;=Simulador!$B$9*12,ROW()-4,NA())</f>
        <v>#N/A</v>
      </c>
      <c r="B164" s="10" t="e">
        <f t="shared" ca="1" si="4"/>
        <v>#N/A</v>
      </c>
      <c r="C164" s="13" t="e">
        <f>IFERROR(Simulador!$B$7*(1+Simulador!$B$12)^INT((A164-1)/12),NA())</f>
        <v>#N/A</v>
      </c>
      <c r="D164" s="13" t="e">
        <f t="shared" si="5"/>
        <v>#N/A</v>
      </c>
      <c r="E164" s="13" t="e">
        <f>IFERROR(E163*(1+Simulador!$G$12)+C164,NA())</f>
        <v>#N/A</v>
      </c>
      <c r="F164" s="13" t="e">
        <f>IFERROR(E164*Simulador!$B$11/12,NA())</f>
        <v>#N/A</v>
      </c>
    </row>
    <row r="165" spans="1:6" ht="18" customHeight="1">
      <c r="A165" s="1" t="e">
        <f>IF(ROW()-4&lt;=Simulador!$B$9*12,ROW()-4,NA())</f>
        <v>#N/A</v>
      </c>
      <c r="B165" s="10" t="e">
        <f t="shared" ca="1" si="4"/>
        <v>#N/A</v>
      </c>
      <c r="C165" s="13" t="e">
        <f>IFERROR(Simulador!$B$7*(1+Simulador!$B$12)^INT((A165-1)/12),NA())</f>
        <v>#N/A</v>
      </c>
      <c r="D165" s="13" t="e">
        <f t="shared" si="5"/>
        <v>#N/A</v>
      </c>
      <c r="E165" s="13" t="e">
        <f>IFERROR(E164*(1+Simulador!$G$12)+C165,NA())</f>
        <v>#N/A</v>
      </c>
      <c r="F165" s="13" t="e">
        <f>IFERROR(E165*Simulador!$B$11/12,NA())</f>
        <v>#N/A</v>
      </c>
    </row>
    <row r="166" spans="1:6" ht="18" customHeight="1">
      <c r="A166" s="1" t="e">
        <f>IF(ROW()-4&lt;=Simulador!$B$9*12,ROW()-4,NA())</f>
        <v>#N/A</v>
      </c>
      <c r="B166" s="10" t="e">
        <f t="shared" ca="1" si="4"/>
        <v>#N/A</v>
      </c>
      <c r="C166" s="13" t="e">
        <f>IFERROR(Simulador!$B$7*(1+Simulador!$B$12)^INT((A166-1)/12),NA())</f>
        <v>#N/A</v>
      </c>
      <c r="D166" s="13" t="e">
        <f t="shared" si="5"/>
        <v>#N/A</v>
      </c>
      <c r="E166" s="13" t="e">
        <f>IFERROR(E165*(1+Simulador!$G$12)+C166,NA())</f>
        <v>#N/A</v>
      </c>
      <c r="F166" s="13" t="e">
        <f>IFERROR(E166*Simulador!$B$11/12,NA())</f>
        <v>#N/A</v>
      </c>
    </row>
    <row r="167" spans="1:6" ht="18" customHeight="1">
      <c r="A167" s="1" t="e">
        <f>IF(ROW()-4&lt;=Simulador!$B$9*12,ROW()-4,NA())</f>
        <v>#N/A</v>
      </c>
      <c r="B167" s="10" t="e">
        <f t="shared" ca="1" si="4"/>
        <v>#N/A</v>
      </c>
      <c r="C167" s="13" t="e">
        <f>IFERROR(Simulador!$B$7*(1+Simulador!$B$12)^INT((A167-1)/12),NA())</f>
        <v>#N/A</v>
      </c>
      <c r="D167" s="13" t="e">
        <f t="shared" si="5"/>
        <v>#N/A</v>
      </c>
      <c r="E167" s="13" t="e">
        <f>IFERROR(E166*(1+Simulador!$G$12)+C167,NA())</f>
        <v>#N/A</v>
      </c>
      <c r="F167" s="13" t="e">
        <f>IFERROR(E167*Simulador!$B$11/12,NA())</f>
        <v>#N/A</v>
      </c>
    </row>
    <row r="168" spans="1:6" ht="18" customHeight="1">
      <c r="A168" s="1" t="e">
        <f>IF(ROW()-4&lt;=Simulador!$B$9*12,ROW()-4,NA())</f>
        <v>#N/A</v>
      </c>
      <c r="B168" s="10" t="e">
        <f t="shared" ca="1" si="4"/>
        <v>#N/A</v>
      </c>
      <c r="C168" s="13" t="e">
        <f>IFERROR(Simulador!$B$7*(1+Simulador!$B$12)^INT((A168-1)/12),NA())</f>
        <v>#N/A</v>
      </c>
      <c r="D168" s="13" t="e">
        <f t="shared" si="5"/>
        <v>#N/A</v>
      </c>
      <c r="E168" s="13" t="e">
        <f>IFERROR(E167*(1+Simulador!$G$12)+C168,NA())</f>
        <v>#N/A</v>
      </c>
      <c r="F168" s="13" t="e">
        <f>IFERROR(E168*Simulador!$B$11/12,NA())</f>
        <v>#N/A</v>
      </c>
    </row>
    <row r="169" spans="1:6" ht="18" customHeight="1">
      <c r="A169" s="1" t="e">
        <f>IF(ROW()-4&lt;=Simulador!$B$9*12,ROW()-4,NA())</f>
        <v>#N/A</v>
      </c>
      <c r="B169" s="10" t="e">
        <f t="shared" ca="1" si="4"/>
        <v>#N/A</v>
      </c>
      <c r="C169" s="13" t="e">
        <f>IFERROR(Simulador!$B$7*(1+Simulador!$B$12)^INT((A169-1)/12),NA())</f>
        <v>#N/A</v>
      </c>
      <c r="D169" s="13" t="e">
        <f t="shared" si="5"/>
        <v>#N/A</v>
      </c>
      <c r="E169" s="13" t="e">
        <f>IFERROR(E168*(1+Simulador!$G$12)+C169,NA())</f>
        <v>#N/A</v>
      </c>
      <c r="F169" s="13" t="e">
        <f>IFERROR(E169*Simulador!$B$11/12,NA())</f>
        <v>#N/A</v>
      </c>
    </row>
    <row r="170" spans="1:6" ht="18" customHeight="1">
      <c r="A170" s="1" t="e">
        <f>IF(ROW()-4&lt;=Simulador!$B$9*12,ROW()-4,NA())</f>
        <v>#N/A</v>
      </c>
      <c r="B170" s="10" t="e">
        <f t="shared" ca="1" si="4"/>
        <v>#N/A</v>
      </c>
      <c r="C170" s="13" t="e">
        <f>IFERROR(Simulador!$B$7*(1+Simulador!$B$12)^INT((A170-1)/12),NA())</f>
        <v>#N/A</v>
      </c>
      <c r="D170" s="13" t="e">
        <f t="shared" si="5"/>
        <v>#N/A</v>
      </c>
      <c r="E170" s="13" t="e">
        <f>IFERROR(E169*(1+Simulador!$G$12)+C170,NA())</f>
        <v>#N/A</v>
      </c>
      <c r="F170" s="13" t="e">
        <f>IFERROR(E170*Simulador!$B$11/12,NA())</f>
        <v>#N/A</v>
      </c>
    </row>
    <row r="171" spans="1:6" ht="18" customHeight="1">
      <c r="A171" s="1" t="e">
        <f>IF(ROW()-4&lt;=Simulador!$B$9*12,ROW()-4,NA())</f>
        <v>#N/A</v>
      </c>
      <c r="B171" s="10" t="e">
        <f t="shared" ca="1" si="4"/>
        <v>#N/A</v>
      </c>
      <c r="C171" s="13" t="e">
        <f>IFERROR(Simulador!$B$7*(1+Simulador!$B$12)^INT((A171-1)/12),NA())</f>
        <v>#N/A</v>
      </c>
      <c r="D171" s="13" t="e">
        <f t="shared" si="5"/>
        <v>#N/A</v>
      </c>
      <c r="E171" s="13" t="e">
        <f>IFERROR(E170*(1+Simulador!$G$12)+C171,NA())</f>
        <v>#N/A</v>
      </c>
      <c r="F171" s="13" t="e">
        <f>IFERROR(E171*Simulador!$B$11/12,NA())</f>
        <v>#N/A</v>
      </c>
    </row>
    <row r="172" spans="1:6" ht="18" customHeight="1">
      <c r="A172" s="1" t="e">
        <f>IF(ROW()-4&lt;=Simulador!$B$9*12,ROW()-4,NA())</f>
        <v>#N/A</v>
      </c>
      <c r="B172" s="10" t="e">
        <f t="shared" ca="1" si="4"/>
        <v>#N/A</v>
      </c>
      <c r="C172" s="13" t="e">
        <f>IFERROR(Simulador!$B$7*(1+Simulador!$B$12)^INT((A172-1)/12),NA())</f>
        <v>#N/A</v>
      </c>
      <c r="D172" s="13" t="e">
        <f t="shared" si="5"/>
        <v>#N/A</v>
      </c>
      <c r="E172" s="13" t="e">
        <f>IFERROR(E171*(1+Simulador!$G$12)+C172,NA())</f>
        <v>#N/A</v>
      </c>
      <c r="F172" s="13" t="e">
        <f>IFERROR(E172*Simulador!$B$11/12,NA())</f>
        <v>#N/A</v>
      </c>
    </row>
    <row r="173" spans="1:6" ht="18" customHeight="1">
      <c r="A173" s="1" t="e">
        <f>IF(ROW()-4&lt;=Simulador!$B$9*12,ROW()-4,NA())</f>
        <v>#N/A</v>
      </c>
      <c r="B173" s="10" t="e">
        <f t="shared" ca="1" si="4"/>
        <v>#N/A</v>
      </c>
      <c r="C173" s="13" t="e">
        <f>IFERROR(Simulador!$B$7*(1+Simulador!$B$12)^INT((A173-1)/12),NA())</f>
        <v>#N/A</v>
      </c>
      <c r="D173" s="13" t="e">
        <f t="shared" si="5"/>
        <v>#N/A</v>
      </c>
      <c r="E173" s="13" t="e">
        <f>IFERROR(E172*(1+Simulador!$G$12)+C173,NA())</f>
        <v>#N/A</v>
      </c>
      <c r="F173" s="13" t="e">
        <f>IFERROR(E173*Simulador!$B$11/12,NA())</f>
        <v>#N/A</v>
      </c>
    </row>
    <row r="174" spans="1:6" ht="18" customHeight="1">
      <c r="A174" s="1" t="e">
        <f>IF(ROW()-4&lt;=Simulador!$B$9*12,ROW()-4,NA())</f>
        <v>#N/A</v>
      </c>
      <c r="B174" s="10" t="e">
        <f t="shared" ca="1" si="4"/>
        <v>#N/A</v>
      </c>
      <c r="C174" s="13" t="e">
        <f>IFERROR(Simulador!$B$7*(1+Simulador!$B$12)^INT((A174-1)/12),NA())</f>
        <v>#N/A</v>
      </c>
      <c r="D174" s="13" t="e">
        <f t="shared" si="5"/>
        <v>#N/A</v>
      </c>
      <c r="E174" s="13" t="e">
        <f>IFERROR(E173*(1+Simulador!$G$12)+C174,NA())</f>
        <v>#N/A</v>
      </c>
      <c r="F174" s="13" t="e">
        <f>IFERROR(E174*Simulador!$B$11/12,NA())</f>
        <v>#N/A</v>
      </c>
    </row>
    <row r="175" spans="1:6" ht="18" customHeight="1">
      <c r="A175" s="1" t="e">
        <f>IF(ROW()-4&lt;=Simulador!$B$9*12,ROW()-4,NA())</f>
        <v>#N/A</v>
      </c>
      <c r="B175" s="10" t="e">
        <f t="shared" ca="1" si="4"/>
        <v>#N/A</v>
      </c>
      <c r="C175" s="13" t="e">
        <f>IFERROR(Simulador!$B$7*(1+Simulador!$B$12)^INT((A175-1)/12),NA())</f>
        <v>#N/A</v>
      </c>
      <c r="D175" s="13" t="e">
        <f t="shared" si="5"/>
        <v>#N/A</v>
      </c>
      <c r="E175" s="13" t="e">
        <f>IFERROR(E174*(1+Simulador!$G$12)+C175,NA())</f>
        <v>#N/A</v>
      </c>
      <c r="F175" s="13" t="e">
        <f>IFERROR(E175*Simulador!$B$11/12,NA())</f>
        <v>#N/A</v>
      </c>
    </row>
    <row r="176" spans="1:6" ht="18" customHeight="1">
      <c r="A176" s="1" t="e">
        <f>IF(ROW()-4&lt;=Simulador!$B$9*12,ROW()-4,NA())</f>
        <v>#N/A</v>
      </c>
      <c r="B176" s="10" t="e">
        <f t="shared" ca="1" si="4"/>
        <v>#N/A</v>
      </c>
      <c r="C176" s="13" t="e">
        <f>IFERROR(Simulador!$B$7*(1+Simulador!$B$12)^INT((A176-1)/12),NA())</f>
        <v>#N/A</v>
      </c>
      <c r="D176" s="13" t="e">
        <f t="shared" si="5"/>
        <v>#N/A</v>
      </c>
      <c r="E176" s="13" t="e">
        <f>IFERROR(E175*(1+Simulador!$G$12)+C176,NA())</f>
        <v>#N/A</v>
      </c>
      <c r="F176" s="13" t="e">
        <f>IFERROR(E176*Simulador!$B$11/12,NA())</f>
        <v>#N/A</v>
      </c>
    </row>
    <row r="177" spans="1:6" ht="18" customHeight="1">
      <c r="A177" s="1" t="e">
        <f>IF(ROW()-4&lt;=Simulador!$B$9*12,ROW()-4,NA())</f>
        <v>#N/A</v>
      </c>
      <c r="B177" s="10" t="e">
        <f t="shared" ca="1" si="4"/>
        <v>#N/A</v>
      </c>
      <c r="C177" s="13" t="e">
        <f>IFERROR(Simulador!$B$7*(1+Simulador!$B$12)^INT((A177-1)/12),NA())</f>
        <v>#N/A</v>
      </c>
      <c r="D177" s="13" t="e">
        <f t="shared" si="5"/>
        <v>#N/A</v>
      </c>
      <c r="E177" s="13" t="e">
        <f>IFERROR(E176*(1+Simulador!$G$12)+C177,NA())</f>
        <v>#N/A</v>
      </c>
      <c r="F177" s="13" t="e">
        <f>IFERROR(E177*Simulador!$B$11/12,NA())</f>
        <v>#N/A</v>
      </c>
    </row>
    <row r="178" spans="1:6" ht="18" customHeight="1">
      <c r="A178" s="1" t="e">
        <f>IF(ROW()-4&lt;=Simulador!$B$9*12,ROW()-4,NA())</f>
        <v>#N/A</v>
      </c>
      <c r="B178" s="10" t="e">
        <f t="shared" ca="1" si="4"/>
        <v>#N/A</v>
      </c>
      <c r="C178" s="13" t="e">
        <f>IFERROR(Simulador!$B$7*(1+Simulador!$B$12)^INT((A178-1)/12),NA())</f>
        <v>#N/A</v>
      </c>
      <c r="D178" s="13" t="e">
        <f t="shared" si="5"/>
        <v>#N/A</v>
      </c>
      <c r="E178" s="13" t="e">
        <f>IFERROR(E177*(1+Simulador!$G$12)+C178,NA())</f>
        <v>#N/A</v>
      </c>
      <c r="F178" s="13" t="e">
        <f>IFERROR(E178*Simulador!$B$11/12,NA())</f>
        <v>#N/A</v>
      </c>
    </row>
    <row r="179" spans="1:6" ht="18" customHeight="1">
      <c r="A179" s="1" t="e">
        <f>IF(ROW()-4&lt;=Simulador!$B$9*12,ROW()-4,NA())</f>
        <v>#N/A</v>
      </c>
      <c r="B179" s="10" t="e">
        <f t="shared" ca="1" si="4"/>
        <v>#N/A</v>
      </c>
      <c r="C179" s="13" t="e">
        <f>IFERROR(Simulador!$B$7*(1+Simulador!$B$12)^INT((A179-1)/12),NA())</f>
        <v>#N/A</v>
      </c>
      <c r="D179" s="13" t="e">
        <f t="shared" si="5"/>
        <v>#N/A</v>
      </c>
      <c r="E179" s="13" t="e">
        <f>IFERROR(E178*(1+Simulador!$G$12)+C179,NA())</f>
        <v>#N/A</v>
      </c>
      <c r="F179" s="13" t="e">
        <f>IFERROR(E179*Simulador!$B$11/12,NA())</f>
        <v>#N/A</v>
      </c>
    </row>
    <row r="180" spans="1:6" ht="18" customHeight="1">
      <c r="A180" s="1" t="e">
        <f>IF(ROW()-4&lt;=Simulador!$B$9*12,ROW()-4,NA())</f>
        <v>#N/A</v>
      </c>
      <c r="B180" s="10" t="e">
        <f t="shared" ca="1" si="4"/>
        <v>#N/A</v>
      </c>
      <c r="C180" s="13" t="e">
        <f>IFERROR(Simulador!$B$7*(1+Simulador!$B$12)^INT((A180-1)/12),NA())</f>
        <v>#N/A</v>
      </c>
      <c r="D180" s="13" t="e">
        <f t="shared" si="5"/>
        <v>#N/A</v>
      </c>
      <c r="E180" s="13" t="e">
        <f>IFERROR(E179*(1+Simulador!$G$12)+C180,NA())</f>
        <v>#N/A</v>
      </c>
      <c r="F180" s="13" t="e">
        <f>IFERROR(E180*Simulador!$B$11/12,NA())</f>
        <v>#N/A</v>
      </c>
    </row>
    <row r="181" spans="1:6" ht="18" customHeight="1">
      <c r="A181" s="1" t="e">
        <f>IF(ROW()-4&lt;=Simulador!$B$9*12,ROW()-4,NA())</f>
        <v>#N/A</v>
      </c>
      <c r="B181" s="10" t="e">
        <f t="shared" ca="1" si="4"/>
        <v>#N/A</v>
      </c>
      <c r="C181" s="13" t="e">
        <f>IFERROR(Simulador!$B$7*(1+Simulador!$B$12)^INT((A181-1)/12),NA())</f>
        <v>#N/A</v>
      </c>
      <c r="D181" s="13" t="e">
        <f t="shared" si="5"/>
        <v>#N/A</v>
      </c>
      <c r="E181" s="13" t="e">
        <f>IFERROR(E180*(1+Simulador!$G$12)+C181,NA())</f>
        <v>#N/A</v>
      </c>
      <c r="F181" s="13" t="e">
        <f>IFERROR(E181*Simulador!$B$11/12,NA())</f>
        <v>#N/A</v>
      </c>
    </row>
    <row r="182" spans="1:6" ht="18" customHeight="1">
      <c r="A182" s="1" t="e">
        <f>IF(ROW()-4&lt;=Simulador!$B$9*12,ROW()-4,NA())</f>
        <v>#N/A</v>
      </c>
      <c r="B182" s="10" t="e">
        <f t="shared" ca="1" si="4"/>
        <v>#N/A</v>
      </c>
      <c r="C182" s="13" t="e">
        <f>IFERROR(Simulador!$B$7*(1+Simulador!$B$12)^INT((A182-1)/12),NA())</f>
        <v>#N/A</v>
      </c>
      <c r="D182" s="13" t="e">
        <f t="shared" si="5"/>
        <v>#N/A</v>
      </c>
      <c r="E182" s="13" t="e">
        <f>IFERROR(E181*(1+Simulador!$G$12)+C182,NA())</f>
        <v>#N/A</v>
      </c>
      <c r="F182" s="13" t="e">
        <f>IFERROR(E182*Simulador!$B$11/12,NA())</f>
        <v>#N/A</v>
      </c>
    </row>
    <row r="183" spans="1:6" ht="18" customHeight="1">
      <c r="A183" s="1" t="e">
        <f>IF(ROW()-4&lt;=Simulador!$B$9*12,ROW()-4,NA())</f>
        <v>#N/A</v>
      </c>
      <c r="B183" s="10" t="e">
        <f t="shared" ca="1" si="4"/>
        <v>#N/A</v>
      </c>
      <c r="C183" s="13" t="e">
        <f>IFERROR(Simulador!$B$7*(1+Simulador!$B$12)^INT((A183-1)/12),NA())</f>
        <v>#N/A</v>
      </c>
      <c r="D183" s="13" t="e">
        <f t="shared" si="5"/>
        <v>#N/A</v>
      </c>
      <c r="E183" s="13" t="e">
        <f>IFERROR(E182*(1+Simulador!$G$12)+C183,NA())</f>
        <v>#N/A</v>
      </c>
      <c r="F183" s="13" t="e">
        <f>IFERROR(E183*Simulador!$B$11/12,NA())</f>
        <v>#N/A</v>
      </c>
    </row>
    <row r="184" spans="1:6" ht="18" customHeight="1">
      <c r="A184" s="1" t="e">
        <f>IF(ROW()-4&lt;=Simulador!$B$9*12,ROW()-4,NA())</f>
        <v>#N/A</v>
      </c>
      <c r="B184" s="10" t="e">
        <f t="shared" ca="1" si="4"/>
        <v>#N/A</v>
      </c>
      <c r="C184" s="13" t="e">
        <f>IFERROR(Simulador!$B$7*(1+Simulador!$B$12)^INT((A184-1)/12),NA())</f>
        <v>#N/A</v>
      </c>
      <c r="D184" s="13" t="e">
        <f t="shared" si="5"/>
        <v>#N/A</v>
      </c>
      <c r="E184" s="13" t="e">
        <f>IFERROR(E183*(1+Simulador!$G$12)+C184,NA())</f>
        <v>#N/A</v>
      </c>
      <c r="F184" s="13" t="e">
        <f>IFERROR(E184*Simulador!$B$11/12,NA())</f>
        <v>#N/A</v>
      </c>
    </row>
    <row r="185" spans="1:6" ht="18" customHeight="1">
      <c r="A185" s="1" t="e">
        <f>IF(ROW()-4&lt;=Simulador!$B$9*12,ROW()-4,NA())</f>
        <v>#N/A</v>
      </c>
      <c r="B185" s="10" t="e">
        <f t="shared" ca="1" si="4"/>
        <v>#N/A</v>
      </c>
      <c r="C185" s="13" t="e">
        <f>IFERROR(Simulador!$B$7*(1+Simulador!$B$12)^INT((A185-1)/12),NA())</f>
        <v>#N/A</v>
      </c>
      <c r="D185" s="13" t="e">
        <f t="shared" si="5"/>
        <v>#N/A</v>
      </c>
      <c r="E185" s="13" t="e">
        <f>IFERROR(E184*(1+Simulador!$G$12)+C185,NA())</f>
        <v>#N/A</v>
      </c>
      <c r="F185" s="13" t="e">
        <f>IFERROR(E185*Simulador!$B$11/12,NA())</f>
        <v>#N/A</v>
      </c>
    </row>
    <row r="186" spans="1:6" ht="18" customHeight="1">
      <c r="A186" s="1" t="e">
        <f>IF(ROW()-4&lt;=Simulador!$B$9*12,ROW()-4,NA())</f>
        <v>#N/A</v>
      </c>
      <c r="B186" s="10" t="e">
        <f t="shared" ca="1" si="4"/>
        <v>#N/A</v>
      </c>
      <c r="C186" s="13" t="e">
        <f>IFERROR(Simulador!$B$7*(1+Simulador!$B$12)^INT((A186-1)/12),NA())</f>
        <v>#N/A</v>
      </c>
      <c r="D186" s="13" t="e">
        <f t="shared" si="5"/>
        <v>#N/A</v>
      </c>
      <c r="E186" s="13" t="e">
        <f>IFERROR(E185*(1+Simulador!$G$12)+C186,NA())</f>
        <v>#N/A</v>
      </c>
      <c r="F186" s="13" t="e">
        <f>IFERROR(E186*Simulador!$B$11/12,NA())</f>
        <v>#N/A</v>
      </c>
    </row>
    <row r="187" spans="1:6" ht="18" customHeight="1">
      <c r="A187" s="1" t="e">
        <f>IF(ROW()-4&lt;=Simulador!$B$9*12,ROW()-4,NA())</f>
        <v>#N/A</v>
      </c>
      <c r="B187" s="10" t="e">
        <f t="shared" ca="1" si="4"/>
        <v>#N/A</v>
      </c>
      <c r="C187" s="13" t="e">
        <f>IFERROR(Simulador!$B$7*(1+Simulador!$B$12)^INT((A187-1)/12),NA())</f>
        <v>#N/A</v>
      </c>
      <c r="D187" s="13" t="e">
        <f t="shared" si="5"/>
        <v>#N/A</v>
      </c>
      <c r="E187" s="13" t="e">
        <f>IFERROR(E186*(1+Simulador!$G$12)+C187,NA())</f>
        <v>#N/A</v>
      </c>
      <c r="F187" s="13" t="e">
        <f>IFERROR(E187*Simulador!$B$11/12,NA())</f>
        <v>#N/A</v>
      </c>
    </row>
    <row r="188" spans="1:6" ht="18" customHeight="1">
      <c r="A188" s="1" t="e">
        <f>IF(ROW()-4&lt;=Simulador!$B$9*12,ROW()-4,NA())</f>
        <v>#N/A</v>
      </c>
      <c r="B188" s="10" t="e">
        <f t="shared" ca="1" si="4"/>
        <v>#N/A</v>
      </c>
      <c r="C188" s="13" t="e">
        <f>IFERROR(Simulador!$B$7*(1+Simulador!$B$12)^INT((A188-1)/12),NA())</f>
        <v>#N/A</v>
      </c>
      <c r="D188" s="13" t="e">
        <f t="shared" si="5"/>
        <v>#N/A</v>
      </c>
      <c r="E188" s="13" t="e">
        <f>IFERROR(E187*(1+Simulador!$G$12)+C188,NA())</f>
        <v>#N/A</v>
      </c>
      <c r="F188" s="13" t="e">
        <f>IFERROR(E188*Simulador!$B$11/12,NA())</f>
        <v>#N/A</v>
      </c>
    </row>
    <row r="189" spans="1:6" ht="18" customHeight="1">
      <c r="A189" s="1" t="e">
        <f>IF(ROW()-4&lt;=Simulador!$B$9*12,ROW()-4,NA())</f>
        <v>#N/A</v>
      </c>
      <c r="B189" s="10" t="e">
        <f t="shared" ca="1" si="4"/>
        <v>#N/A</v>
      </c>
      <c r="C189" s="13" t="e">
        <f>IFERROR(Simulador!$B$7*(1+Simulador!$B$12)^INT((A189-1)/12),NA())</f>
        <v>#N/A</v>
      </c>
      <c r="D189" s="13" t="e">
        <f t="shared" si="5"/>
        <v>#N/A</v>
      </c>
      <c r="E189" s="13" t="e">
        <f>IFERROR(E188*(1+Simulador!$G$12)+C189,NA())</f>
        <v>#N/A</v>
      </c>
      <c r="F189" s="13" t="e">
        <f>IFERROR(E189*Simulador!$B$11/12,NA())</f>
        <v>#N/A</v>
      </c>
    </row>
    <row r="190" spans="1:6" ht="18" customHeight="1">
      <c r="A190" s="1" t="e">
        <f>IF(ROW()-4&lt;=Simulador!$B$9*12,ROW()-4,NA())</f>
        <v>#N/A</v>
      </c>
      <c r="B190" s="10" t="e">
        <f t="shared" ca="1" si="4"/>
        <v>#N/A</v>
      </c>
      <c r="C190" s="13" t="e">
        <f>IFERROR(Simulador!$B$7*(1+Simulador!$B$12)^INT((A190-1)/12),NA())</f>
        <v>#N/A</v>
      </c>
      <c r="D190" s="13" t="e">
        <f t="shared" si="5"/>
        <v>#N/A</v>
      </c>
      <c r="E190" s="13" t="e">
        <f>IFERROR(E189*(1+Simulador!$G$12)+C190,NA())</f>
        <v>#N/A</v>
      </c>
      <c r="F190" s="13" t="e">
        <f>IFERROR(E190*Simulador!$B$11/12,NA())</f>
        <v>#N/A</v>
      </c>
    </row>
    <row r="191" spans="1:6" ht="18" customHeight="1">
      <c r="A191" s="1" t="e">
        <f>IF(ROW()-4&lt;=Simulador!$B$9*12,ROW()-4,NA())</f>
        <v>#N/A</v>
      </c>
      <c r="B191" s="10" t="e">
        <f t="shared" ca="1" si="4"/>
        <v>#N/A</v>
      </c>
      <c r="C191" s="13" t="e">
        <f>IFERROR(Simulador!$B$7*(1+Simulador!$B$12)^INT((A191-1)/12),NA())</f>
        <v>#N/A</v>
      </c>
      <c r="D191" s="13" t="e">
        <f t="shared" si="5"/>
        <v>#N/A</v>
      </c>
      <c r="E191" s="13" t="e">
        <f>IFERROR(E190*(1+Simulador!$G$12)+C191,NA())</f>
        <v>#N/A</v>
      </c>
      <c r="F191" s="13" t="e">
        <f>IFERROR(E191*Simulador!$B$11/12,NA())</f>
        <v>#N/A</v>
      </c>
    </row>
    <row r="192" spans="1:6" ht="18" customHeight="1">
      <c r="A192" s="1" t="e">
        <f>IF(ROW()-4&lt;=Simulador!$B$9*12,ROW()-4,NA())</f>
        <v>#N/A</v>
      </c>
      <c r="B192" s="10" t="e">
        <f t="shared" ca="1" si="4"/>
        <v>#N/A</v>
      </c>
      <c r="C192" s="13" t="e">
        <f>IFERROR(Simulador!$B$7*(1+Simulador!$B$12)^INT((A192-1)/12),NA())</f>
        <v>#N/A</v>
      </c>
      <c r="D192" s="13" t="e">
        <f t="shared" si="5"/>
        <v>#N/A</v>
      </c>
      <c r="E192" s="13" t="e">
        <f>IFERROR(E191*(1+Simulador!$G$12)+C192,NA())</f>
        <v>#N/A</v>
      </c>
      <c r="F192" s="13" t="e">
        <f>IFERROR(E192*Simulador!$B$11/12,NA())</f>
        <v>#N/A</v>
      </c>
    </row>
    <row r="193" spans="1:6" ht="18" customHeight="1">
      <c r="A193" s="1" t="e">
        <f>IF(ROW()-4&lt;=Simulador!$B$9*12,ROW()-4,NA())</f>
        <v>#N/A</v>
      </c>
      <c r="B193" s="10" t="e">
        <f t="shared" ca="1" si="4"/>
        <v>#N/A</v>
      </c>
      <c r="C193" s="13" t="e">
        <f>IFERROR(Simulador!$B$7*(1+Simulador!$B$12)^INT((A193-1)/12),NA())</f>
        <v>#N/A</v>
      </c>
      <c r="D193" s="13" t="e">
        <f t="shared" si="5"/>
        <v>#N/A</v>
      </c>
      <c r="E193" s="13" t="e">
        <f>IFERROR(E192*(1+Simulador!$G$12)+C193,NA())</f>
        <v>#N/A</v>
      </c>
      <c r="F193" s="13" t="e">
        <f>IFERROR(E193*Simulador!$B$11/12,NA())</f>
        <v>#N/A</v>
      </c>
    </row>
    <row r="194" spans="1:6" ht="18" customHeight="1">
      <c r="A194" s="1" t="e">
        <f>IF(ROW()-4&lt;=Simulador!$B$9*12,ROW()-4,NA())</f>
        <v>#N/A</v>
      </c>
      <c r="B194" s="10" t="e">
        <f t="shared" ca="1" si="4"/>
        <v>#N/A</v>
      </c>
      <c r="C194" s="13" t="e">
        <f>IFERROR(Simulador!$B$7*(1+Simulador!$B$12)^INT((A194-1)/12),NA())</f>
        <v>#N/A</v>
      </c>
      <c r="D194" s="13" t="e">
        <f t="shared" si="5"/>
        <v>#N/A</v>
      </c>
      <c r="E194" s="13" t="e">
        <f>IFERROR(E193*(1+Simulador!$G$12)+C194,NA())</f>
        <v>#N/A</v>
      </c>
      <c r="F194" s="13" t="e">
        <f>IFERROR(E194*Simulador!$B$11/12,NA())</f>
        <v>#N/A</v>
      </c>
    </row>
    <row r="195" spans="1:6" ht="18" customHeight="1">
      <c r="A195" s="1" t="e">
        <f>IF(ROW()-4&lt;=Simulador!$B$9*12,ROW()-4,NA())</f>
        <v>#N/A</v>
      </c>
      <c r="B195" s="10" t="e">
        <f t="shared" ca="1" si="4"/>
        <v>#N/A</v>
      </c>
      <c r="C195" s="13" t="e">
        <f>IFERROR(Simulador!$B$7*(1+Simulador!$B$12)^INT((A195-1)/12),NA())</f>
        <v>#N/A</v>
      </c>
      <c r="D195" s="13" t="e">
        <f t="shared" si="5"/>
        <v>#N/A</v>
      </c>
      <c r="E195" s="13" t="e">
        <f>IFERROR(E194*(1+Simulador!$G$12)+C195,NA())</f>
        <v>#N/A</v>
      </c>
      <c r="F195" s="13" t="e">
        <f>IFERROR(E195*Simulador!$B$11/12,NA())</f>
        <v>#N/A</v>
      </c>
    </row>
    <row r="196" spans="1:6" ht="18" customHeight="1">
      <c r="A196" s="1" t="e">
        <f>IF(ROW()-4&lt;=Simulador!$B$9*12,ROW()-4,NA())</f>
        <v>#N/A</v>
      </c>
      <c r="B196" s="10" t="e">
        <f t="shared" ca="1" si="4"/>
        <v>#N/A</v>
      </c>
      <c r="C196" s="13" t="e">
        <f>IFERROR(Simulador!$B$7*(1+Simulador!$B$12)^INT((A196-1)/12),NA())</f>
        <v>#N/A</v>
      </c>
      <c r="D196" s="13" t="e">
        <f t="shared" si="5"/>
        <v>#N/A</v>
      </c>
      <c r="E196" s="13" t="e">
        <f>IFERROR(E195*(1+Simulador!$G$12)+C196,NA())</f>
        <v>#N/A</v>
      </c>
      <c r="F196" s="13" t="e">
        <f>IFERROR(E196*Simulador!$B$11/12,NA())</f>
        <v>#N/A</v>
      </c>
    </row>
    <row r="197" spans="1:6" ht="18" customHeight="1">
      <c r="A197" s="1" t="e">
        <f>IF(ROW()-4&lt;=Simulador!$B$9*12,ROW()-4,NA())</f>
        <v>#N/A</v>
      </c>
      <c r="B197" s="10" t="e">
        <f t="shared" ca="1" si="4"/>
        <v>#N/A</v>
      </c>
      <c r="C197" s="13" t="e">
        <f>IFERROR(Simulador!$B$7*(1+Simulador!$B$12)^INT((A197-1)/12),NA())</f>
        <v>#N/A</v>
      </c>
      <c r="D197" s="13" t="e">
        <f t="shared" si="5"/>
        <v>#N/A</v>
      </c>
      <c r="E197" s="13" t="e">
        <f>IFERROR(E196*(1+Simulador!$G$12)+C197,NA())</f>
        <v>#N/A</v>
      </c>
      <c r="F197" s="13" t="e">
        <f>IFERROR(E197*Simulador!$B$11/12,NA())</f>
        <v>#N/A</v>
      </c>
    </row>
    <row r="198" spans="1:6" ht="18" customHeight="1">
      <c r="A198" s="1" t="e">
        <f>IF(ROW()-4&lt;=Simulador!$B$9*12,ROW()-4,NA())</f>
        <v>#N/A</v>
      </c>
      <c r="B198" s="10" t="e">
        <f t="shared" ref="B198:B261" ca="1" si="6">IFERROR(EDATE($B$4,A198),NA())</f>
        <v>#N/A</v>
      </c>
      <c r="C198" s="13" t="e">
        <f>IFERROR(Simulador!$B$7*(1+Simulador!$B$12)^INT((A198-1)/12),NA())</f>
        <v>#N/A</v>
      </c>
      <c r="D198" s="13" t="e">
        <f t="shared" ref="D198:D261" si="7">IFERROR(D197+C198,NA())</f>
        <v>#N/A</v>
      </c>
      <c r="E198" s="13" t="e">
        <f>IFERROR(E197*(1+Simulador!$G$12)+C198,NA())</f>
        <v>#N/A</v>
      </c>
      <c r="F198" s="13" t="e">
        <f>IFERROR(E198*Simulador!$B$11/12,NA())</f>
        <v>#N/A</v>
      </c>
    </row>
    <row r="199" spans="1:6" ht="18" customHeight="1">
      <c r="A199" s="1" t="e">
        <f>IF(ROW()-4&lt;=Simulador!$B$9*12,ROW()-4,NA())</f>
        <v>#N/A</v>
      </c>
      <c r="B199" s="10" t="e">
        <f t="shared" ca="1" si="6"/>
        <v>#N/A</v>
      </c>
      <c r="C199" s="13" t="e">
        <f>IFERROR(Simulador!$B$7*(1+Simulador!$B$12)^INT((A199-1)/12),NA())</f>
        <v>#N/A</v>
      </c>
      <c r="D199" s="13" t="e">
        <f t="shared" si="7"/>
        <v>#N/A</v>
      </c>
      <c r="E199" s="13" t="e">
        <f>IFERROR(E198*(1+Simulador!$G$12)+C199,NA())</f>
        <v>#N/A</v>
      </c>
      <c r="F199" s="13" t="e">
        <f>IFERROR(E199*Simulador!$B$11/12,NA())</f>
        <v>#N/A</v>
      </c>
    </row>
    <row r="200" spans="1:6" ht="18" customHeight="1">
      <c r="A200" s="1" t="e">
        <f>IF(ROW()-4&lt;=Simulador!$B$9*12,ROW()-4,NA())</f>
        <v>#N/A</v>
      </c>
      <c r="B200" s="10" t="e">
        <f t="shared" ca="1" si="6"/>
        <v>#N/A</v>
      </c>
      <c r="C200" s="13" t="e">
        <f>IFERROR(Simulador!$B$7*(1+Simulador!$B$12)^INT((A200-1)/12),NA())</f>
        <v>#N/A</v>
      </c>
      <c r="D200" s="13" t="e">
        <f t="shared" si="7"/>
        <v>#N/A</v>
      </c>
      <c r="E200" s="13" t="e">
        <f>IFERROR(E199*(1+Simulador!$G$12)+C200,NA())</f>
        <v>#N/A</v>
      </c>
      <c r="F200" s="13" t="e">
        <f>IFERROR(E200*Simulador!$B$11/12,NA())</f>
        <v>#N/A</v>
      </c>
    </row>
    <row r="201" spans="1:6" ht="18" customHeight="1">
      <c r="A201" s="1" t="e">
        <f>IF(ROW()-4&lt;=Simulador!$B$9*12,ROW()-4,NA())</f>
        <v>#N/A</v>
      </c>
      <c r="B201" s="10" t="e">
        <f t="shared" ca="1" si="6"/>
        <v>#N/A</v>
      </c>
      <c r="C201" s="13" t="e">
        <f>IFERROR(Simulador!$B$7*(1+Simulador!$B$12)^INT((A201-1)/12),NA())</f>
        <v>#N/A</v>
      </c>
      <c r="D201" s="13" t="e">
        <f t="shared" si="7"/>
        <v>#N/A</v>
      </c>
      <c r="E201" s="13" t="e">
        <f>IFERROR(E200*(1+Simulador!$G$12)+C201,NA())</f>
        <v>#N/A</v>
      </c>
      <c r="F201" s="13" t="e">
        <f>IFERROR(E201*Simulador!$B$11/12,NA())</f>
        <v>#N/A</v>
      </c>
    </row>
    <row r="202" spans="1:6" ht="18" customHeight="1">
      <c r="A202" s="1" t="e">
        <f>IF(ROW()-4&lt;=Simulador!$B$9*12,ROW()-4,NA())</f>
        <v>#N/A</v>
      </c>
      <c r="B202" s="10" t="e">
        <f t="shared" ca="1" si="6"/>
        <v>#N/A</v>
      </c>
      <c r="C202" s="13" t="e">
        <f>IFERROR(Simulador!$B$7*(1+Simulador!$B$12)^INT((A202-1)/12),NA())</f>
        <v>#N/A</v>
      </c>
      <c r="D202" s="13" t="e">
        <f t="shared" si="7"/>
        <v>#N/A</v>
      </c>
      <c r="E202" s="13" t="e">
        <f>IFERROR(E201*(1+Simulador!$G$12)+C202,NA())</f>
        <v>#N/A</v>
      </c>
      <c r="F202" s="13" t="e">
        <f>IFERROR(E202*Simulador!$B$11/12,NA())</f>
        <v>#N/A</v>
      </c>
    </row>
    <row r="203" spans="1:6" ht="18" customHeight="1">
      <c r="A203" s="1" t="e">
        <f>IF(ROW()-4&lt;=Simulador!$B$9*12,ROW()-4,NA())</f>
        <v>#N/A</v>
      </c>
      <c r="B203" s="10" t="e">
        <f t="shared" ca="1" si="6"/>
        <v>#N/A</v>
      </c>
      <c r="C203" s="13" t="e">
        <f>IFERROR(Simulador!$B$7*(1+Simulador!$B$12)^INT((A203-1)/12),NA())</f>
        <v>#N/A</v>
      </c>
      <c r="D203" s="13" t="e">
        <f t="shared" si="7"/>
        <v>#N/A</v>
      </c>
      <c r="E203" s="13" t="e">
        <f>IFERROR(E202*(1+Simulador!$G$12)+C203,NA())</f>
        <v>#N/A</v>
      </c>
      <c r="F203" s="13" t="e">
        <f>IFERROR(E203*Simulador!$B$11/12,NA())</f>
        <v>#N/A</v>
      </c>
    </row>
    <row r="204" spans="1:6" ht="18" customHeight="1">
      <c r="A204" s="1" t="e">
        <f>IF(ROW()-4&lt;=Simulador!$B$9*12,ROW()-4,NA())</f>
        <v>#N/A</v>
      </c>
      <c r="B204" s="10" t="e">
        <f t="shared" ca="1" si="6"/>
        <v>#N/A</v>
      </c>
      <c r="C204" s="13" t="e">
        <f>IFERROR(Simulador!$B$7*(1+Simulador!$B$12)^INT((A204-1)/12),NA())</f>
        <v>#N/A</v>
      </c>
      <c r="D204" s="13" t="e">
        <f t="shared" si="7"/>
        <v>#N/A</v>
      </c>
      <c r="E204" s="13" t="e">
        <f>IFERROR(E203*(1+Simulador!$G$12)+C204,NA())</f>
        <v>#N/A</v>
      </c>
      <c r="F204" s="13" t="e">
        <f>IFERROR(E204*Simulador!$B$11/12,NA())</f>
        <v>#N/A</v>
      </c>
    </row>
    <row r="205" spans="1:6" ht="18" customHeight="1">
      <c r="A205" s="1" t="e">
        <f>IF(ROW()-4&lt;=Simulador!$B$9*12,ROW()-4,NA())</f>
        <v>#N/A</v>
      </c>
      <c r="B205" s="10" t="e">
        <f t="shared" ca="1" si="6"/>
        <v>#N/A</v>
      </c>
      <c r="C205" s="13" t="e">
        <f>IFERROR(Simulador!$B$7*(1+Simulador!$B$12)^INT((A205-1)/12),NA())</f>
        <v>#N/A</v>
      </c>
      <c r="D205" s="13" t="e">
        <f t="shared" si="7"/>
        <v>#N/A</v>
      </c>
      <c r="E205" s="13" t="e">
        <f>IFERROR(E204*(1+Simulador!$G$12)+C205,NA())</f>
        <v>#N/A</v>
      </c>
      <c r="F205" s="13" t="e">
        <f>IFERROR(E205*Simulador!$B$11/12,NA())</f>
        <v>#N/A</v>
      </c>
    </row>
    <row r="206" spans="1:6" ht="18" customHeight="1">
      <c r="A206" s="1" t="e">
        <f>IF(ROW()-4&lt;=Simulador!$B$9*12,ROW()-4,NA())</f>
        <v>#N/A</v>
      </c>
      <c r="B206" s="10" t="e">
        <f t="shared" ca="1" si="6"/>
        <v>#N/A</v>
      </c>
      <c r="C206" s="13" t="e">
        <f>IFERROR(Simulador!$B$7*(1+Simulador!$B$12)^INT((A206-1)/12),NA())</f>
        <v>#N/A</v>
      </c>
      <c r="D206" s="13" t="e">
        <f t="shared" si="7"/>
        <v>#N/A</v>
      </c>
      <c r="E206" s="13" t="e">
        <f>IFERROR(E205*(1+Simulador!$G$12)+C206,NA())</f>
        <v>#N/A</v>
      </c>
      <c r="F206" s="13" t="e">
        <f>IFERROR(E206*Simulador!$B$11/12,NA())</f>
        <v>#N/A</v>
      </c>
    </row>
    <row r="207" spans="1:6" ht="18" customHeight="1">
      <c r="A207" s="1" t="e">
        <f>IF(ROW()-4&lt;=Simulador!$B$9*12,ROW()-4,NA())</f>
        <v>#N/A</v>
      </c>
      <c r="B207" s="10" t="e">
        <f t="shared" ca="1" si="6"/>
        <v>#N/A</v>
      </c>
      <c r="C207" s="13" t="e">
        <f>IFERROR(Simulador!$B$7*(1+Simulador!$B$12)^INT((A207-1)/12),NA())</f>
        <v>#N/A</v>
      </c>
      <c r="D207" s="13" t="e">
        <f t="shared" si="7"/>
        <v>#N/A</v>
      </c>
      <c r="E207" s="13" t="e">
        <f>IFERROR(E206*(1+Simulador!$G$12)+C207,NA())</f>
        <v>#N/A</v>
      </c>
      <c r="F207" s="13" t="e">
        <f>IFERROR(E207*Simulador!$B$11/12,NA())</f>
        <v>#N/A</v>
      </c>
    </row>
    <row r="208" spans="1:6" ht="18" customHeight="1">
      <c r="A208" s="1" t="e">
        <f>IF(ROW()-4&lt;=Simulador!$B$9*12,ROW()-4,NA())</f>
        <v>#N/A</v>
      </c>
      <c r="B208" s="10" t="e">
        <f t="shared" ca="1" si="6"/>
        <v>#N/A</v>
      </c>
      <c r="C208" s="13" t="e">
        <f>IFERROR(Simulador!$B$7*(1+Simulador!$B$12)^INT((A208-1)/12),NA())</f>
        <v>#N/A</v>
      </c>
      <c r="D208" s="13" t="e">
        <f t="shared" si="7"/>
        <v>#N/A</v>
      </c>
      <c r="E208" s="13" t="e">
        <f>IFERROR(E207*(1+Simulador!$G$12)+C208,NA())</f>
        <v>#N/A</v>
      </c>
      <c r="F208" s="13" t="e">
        <f>IFERROR(E208*Simulador!$B$11/12,NA())</f>
        <v>#N/A</v>
      </c>
    </row>
    <row r="209" spans="1:6" ht="18" customHeight="1">
      <c r="A209" s="1" t="e">
        <f>IF(ROW()-4&lt;=Simulador!$B$9*12,ROW()-4,NA())</f>
        <v>#N/A</v>
      </c>
      <c r="B209" s="10" t="e">
        <f t="shared" ca="1" si="6"/>
        <v>#N/A</v>
      </c>
      <c r="C209" s="13" t="e">
        <f>IFERROR(Simulador!$B$7*(1+Simulador!$B$12)^INT((A209-1)/12),NA())</f>
        <v>#N/A</v>
      </c>
      <c r="D209" s="13" t="e">
        <f t="shared" si="7"/>
        <v>#N/A</v>
      </c>
      <c r="E209" s="13" t="e">
        <f>IFERROR(E208*(1+Simulador!$G$12)+C209,NA())</f>
        <v>#N/A</v>
      </c>
      <c r="F209" s="13" t="e">
        <f>IFERROR(E209*Simulador!$B$11/12,NA())</f>
        <v>#N/A</v>
      </c>
    </row>
    <row r="210" spans="1:6" ht="18" customHeight="1">
      <c r="A210" s="1" t="e">
        <f>IF(ROW()-4&lt;=Simulador!$B$9*12,ROW()-4,NA())</f>
        <v>#N/A</v>
      </c>
      <c r="B210" s="10" t="e">
        <f t="shared" ca="1" si="6"/>
        <v>#N/A</v>
      </c>
      <c r="C210" s="13" t="e">
        <f>IFERROR(Simulador!$B$7*(1+Simulador!$B$12)^INT((A210-1)/12),NA())</f>
        <v>#N/A</v>
      </c>
      <c r="D210" s="13" t="e">
        <f t="shared" si="7"/>
        <v>#N/A</v>
      </c>
      <c r="E210" s="13" t="e">
        <f>IFERROR(E209*(1+Simulador!$G$12)+C210,NA())</f>
        <v>#N/A</v>
      </c>
      <c r="F210" s="13" t="e">
        <f>IFERROR(E210*Simulador!$B$11/12,NA())</f>
        <v>#N/A</v>
      </c>
    </row>
    <row r="211" spans="1:6" ht="18" customHeight="1">
      <c r="A211" s="1" t="e">
        <f>IF(ROW()-4&lt;=Simulador!$B$9*12,ROW()-4,NA())</f>
        <v>#N/A</v>
      </c>
      <c r="B211" s="10" t="e">
        <f t="shared" ca="1" si="6"/>
        <v>#N/A</v>
      </c>
      <c r="C211" s="13" t="e">
        <f>IFERROR(Simulador!$B$7*(1+Simulador!$B$12)^INT((A211-1)/12),NA())</f>
        <v>#N/A</v>
      </c>
      <c r="D211" s="13" t="e">
        <f t="shared" si="7"/>
        <v>#N/A</v>
      </c>
      <c r="E211" s="13" t="e">
        <f>IFERROR(E210*(1+Simulador!$G$12)+C211,NA())</f>
        <v>#N/A</v>
      </c>
      <c r="F211" s="13" t="e">
        <f>IFERROR(E211*Simulador!$B$11/12,NA())</f>
        <v>#N/A</v>
      </c>
    </row>
    <row r="212" spans="1:6" ht="18" customHeight="1">
      <c r="A212" s="1" t="e">
        <f>IF(ROW()-4&lt;=Simulador!$B$9*12,ROW()-4,NA())</f>
        <v>#N/A</v>
      </c>
      <c r="B212" s="10" t="e">
        <f t="shared" ca="1" si="6"/>
        <v>#N/A</v>
      </c>
      <c r="C212" s="13" t="e">
        <f>IFERROR(Simulador!$B$7*(1+Simulador!$B$12)^INT((A212-1)/12),NA())</f>
        <v>#N/A</v>
      </c>
      <c r="D212" s="13" t="e">
        <f t="shared" si="7"/>
        <v>#N/A</v>
      </c>
      <c r="E212" s="13" t="e">
        <f>IFERROR(E211*(1+Simulador!$G$12)+C212,NA())</f>
        <v>#N/A</v>
      </c>
      <c r="F212" s="13" t="e">
        <f>IFERROR(E212*Simulador!$B$11/12,NA())</f>
        <v>#N/A</v>
      </c>
    </row>
    <row r="213" spans="1:6" ht="18" customHeight="1">
      <c r="A213" s="1" t="e">
        <f>IF(ROW()-4&lt;=Simulador!$B$9*12,ROW()-4,NA())</f>
        <v>#N/A</v>
      </c>
      <c r="B213" s="10" t="e">
        <f t="shared" ca="1" si="6"/>
        <v>#N/A</v>
      </c>
      <c r="C213" s="13" t="e">
        <f>IFERROR(Simulador!$B$7*(1+Simulador!$B$12)^INT((A213-1)/12),NA())</f>
        <v>#N/A</v>
      </c>
      <c r="D213" s="13" t="e">
        <f t="shared" si="7"/>
        <v>#N/A</v>
      </c>
      <c r="E213" s="13" t="e">
        <f>IFERROR(E212*(1+Simulador!$G$12)+C213,NA())</f>
        <v>#N/A</v>
      </c>
      <c r="F213" s="13" t="e">
        <f>IFERROR(E213*Simulador!$B$11/12,NA())</f>
        <v>#N/A</v>
      </c>
    </row>
    <row r="214" spans="1:6" ht="18" customHeight="1">
      <c r="A214" s="1" t="e">
        <f>IF(ROW()-4&lt;=Simulador!$B$9*12,ROW()-4,NA())</f>
        <v>#N/A</v>
      </c>
      <c r="B214" s="10" t="e">
        <f t="shared" ca="1" si="6"/>
        <v>#N/A</v>
      </c>
      <c r="C214" s="13" t="e">
        <f>IFERROR(Simulador!$B$7*(1+Simulador!$B$12)^INT((A214-1)/12),NA())</f>
        <v>#N/A</v>
      </c>
      <c r="D214" s="13" t="e">
        <f t="shared" si="7"/>
        <v>#N/A</v>
      </c>
      <c r="E214" s="13" t="e">
        <f>IFERROR(E213*(1+Simulador!$G$12)+C214,NA())</f>
        <v>#N/A</v>
      </c>
      <c r="F214" s="13" t="e">
        <f>IFERROR(E214*Simulador!$B$11/12,NA())</f>
        <v>#N/A</v>
      </c>
    </row>
    <row r="215" spans="1:6" ht="18" customHeight="1">
      <c r="A215" s="1" t="e">
        <f>IF(ROW()-4&lt;=Simulador!$B$9*12,ROW()-4,NA())</f>
        <v>#N/A</v>
      </c>
      <c r="B215" s="10" t="e">
        <f t="shared" ca="1" si="6"/>
        <v>#N/A</v>
      </c>
      <c r="C215" s="13" t="e">
        <f>IFERROR(Simulador!$B$7*(1+Simulador!$B$12)^INT((A215-1)/12),NA())</f>
        <v>#N/A</v>
      </c>
      <c r="D215" s="13" t="e">
        <f t="shared" si="7"/>
        <v>#N/A</v>
      </c>
      <c r="E215" s="13" t="e">
        <f>IFERROR(E214*(1+Simulador!$G$12)+C215,NA())</f>
        <v>#N/A</v>
      </c>
      <c r="F215" s="13" t="e">
        <f>IFERROR(E215*Simulador!$B$11/12,NA())</f>
        <v>#N/A</v>
      </c>
    </row>
    <row r="216" spans="1:6" ht="18" customHeight="1">
      <c r="A216" s="1" t="e">
        <f>IF(ROW()-4&lt;=Simulador!$B$9*12,ROW()-4,NA())</f>
        <v>#N/A</v>
      </c>
      <c r="B216" s="10" t="e">
        <f t="shared" ca="1" si="6"/>
        <v>#N/A</v>
      </c>
      <c r="C216" s="13" t="e">
        <f>IFERROR(Simulador!$B$7*(1+Simulador!$B$12)^INT((A216-1)/12),NA())</f>
        <v>#N/A</v>
      </c>
      <c r="D216" s="13" t="e">
        <f t="shared" si="7"/>
        <v>#N/A</v>
      </c>
      <c r="E216" s="13" t="e">
        <f>IFERROR(E215*(1+Simulador!$G$12)+C216,NA())</f>
        <v>#N/A</v>
      </c>
      <c r="F216" s="13" t="e">
        <f>IFERROR(E216*Simulador!$B$11/12,NA())</f>
        <v>#N/A</v>
      </c>
    </row>
    <row r="217" spans="1:6" ht="18" customHeight="1">
      <c r="A217" s="1" t="e">
        <f>IF(ROW()-4&lt;=Simulador!$B$9*12,ROW()-4,NA())</f>
        <v>#N/A</v>
      </c>
      <c r="B217" s="10" t="e">
        <f t="shared" ca="1" si="6"/>
        <v>#N/A</v>
      </c>
      <c r="C217" s="13" t="e">
        <f>IFERROR(Simulador!$B$7*(1+Simulador!$B$12)^INT((A217-1)/12),NA())</f>
        <v>#N/A</v>
      </c>
      <c r="D217" s="13" t="e">
        <f t="shared" si="7"/>
        <v>#N/A</v>
      </c>
      <c r="E217" s="13" t="e">
        <f>IFERROR(E216*(1+Simulador!$G$12)+C217,NA())</f>
        <v>#N/A</v>
      </c>
      <c r="F217" s="13" t="e">
        <f>IFERROR(E217*Simulador!$B$11/12,NA())</f>
        <v>#N/A</v>
      </c>
    </row>
    <row r="218" spans="1:6" ht="18" customHeight="1">
      <c r="A218" s="1" t="e">
        <f>IF(ROW()-4&lt;=Simulador!$B$9*12,ROW()-4,NA())</f>
        <v>#N/A</v>
      </c>
      <c r="B218" s="10" t="e">
        <f t="shared" ca="1" si="6"/>
        <v>#N/A</v>
      </c>
      <c r="C218" s="13" t="e">
        <f>IFERROR(Simulador!$B$7*(1+Simulador!$B$12)^INT((A218-1)/12),NA())</f>
        <v>#N/A</v>
      </c>
      <c r="D218" s="13" t="e">
        <f t="shared" si="7"/>
        <v>#N/A</v>
      </c>
      <c r="E218" s="13" t="e">
        <f>IFERROR(E217*(1+Simulador!$G$12)+C218,NA())</f>
        <v>#N/A</v>
      </c>
      <c r="F218" s="13" t="e">
        <f>IFERROR(E218*Simulador!$B$11/12,NA())</f>
        <v>#N/A</v>
      </c>
    </row>
    <row r="219" spans="1:6" ht="18" customHeight="1">
      <c r="A219" s="1" t="e">
        <f>IF(ROW()-4&lt;=Simulador!$B$9*12,ROW()-4,NA())</f>
        <v>#N/A</v>
      </c>
      <c r="B219" s="10" t="e">
        <f t="shared" ca="1" si="6"/>
        <v>#N/A</v>
      </c>
      <c r="C219" s="13" t="e">
        <f>IFERROR(Simulador!$B$7*(1+Simulador!$B$12)^INT((A219-1)/12),NA())</f>
        <v>#N/A</v>
      </c>
      <c r="D219" s="13" t="e">
        <f t="shared" si="7"/>
        <v>#N/A</v>
      </c>
      <c r="E219" s="13" t="e">
        <f>IFERROR(E218*(1+Simulador!$G$12)+C219,NA())</f>
        <v>#N/A</v>
      </c>
      <c r="F219" s="13" t="e">
        <f>IFERROR(E219*Simulador!$B$11/12,NA())</f>
        <v>#N/A</v>
      </c>
    </row>
    <row r="220" spans="1:6" ht="18" customHeight="1">
      <c r="A220" s="1" t="e">
        <f>IF(ROW()-4&lt;=Simulador!$B$9*12,ROW()-4,NA())</f>
        <v>#N/A</v>
      </c>
      <c r="B220" s="10" t="e">
        <f t="shared" ca="1" si="6"/>
        <v>#N/A</v>
      </c>
      <c r="C220" s="13" t="e">
        <f>IFERROR(Simulador!$B$7*(1+Simulador!$B$12)^INT((A220-1)/12),NA())</f>
        <v>#N/A</v>
      </c>
      <c r="D220" s="13" t="e">
        <f t="shared" si="7"/>
        <v>#N/A</v>
      </c>
      <c r="E220" s="13" t="e">
        <f>IFERROR(E219*(1+Simulador!$G$12)+C220,NA())</f>
        <v>#N/A</v>
      </c>
      <c r="F220" s="13" t="e">
        <f>IFERROR(E220*Simulador!$B$11/12,NA())</f>
        <v>#N/A</v>
      </c>
    </row>
    <row r="221" spans="1:6" ht="18" customHeight="1">
      <c r="A221" s="1" t="e">
        <f>IF(ROW()-4&lt;=Simulador!$B$9*12,ROW()-4,NA())</f>
        <v>#N/A</v>
      </c>
      <c r="B221" s="10" t="e">
        <f t="shared" ca="1" si="6"/>
        <v>#N/A</v>
      </c>
      <c r="C221" s="13" t="e">
        <f>IFERROR(Simulador!$B$7*(1+Simulador!$B$12)^INT((A221-1)/12),NA())</f>
        <v>#N/A</v>
      </c>
      <c r="D221" s="13" t="e">
        <f t="shared" si="7"/>
        <v>#N/A</v>
      </c>
      <c r="E221" s="13" t="e">
        <f>IFERROR(E220*(1+Simulador!$G$12)+C221,NA())</f>
        <v>#N/A</v>
      </c>
      <c r="F221" s="13" t="e">
        <f>IFERROR(E221*Simulador!$B$11/12,NA())</f>
        <v>#N/A</v>
      </c>
    </row>
    <row r="222" spans="1:6" ht="18" customHeight="1">
      <c r="A222" s="1" t="e">
        <f>IF(ROW()-4&lt;=Simulador!$B$9*12,ROW()-4,NA())</f>
        <v>#N/A</v>
      </c>
      <c r="B222" s="10" t="e">
        <f t="shared" ca="1" si="6"/>
        <v>#N/A</v>
      </c>
      <c r="C222" s="13" t="e">
        <f>IFERROR(Simulador!$B$7*(1+Simulador!$B$12)^INT((A222-1)/12),NA())</f>
        <v>#N/A</v>
      </c>
      <c r="D222" s="13" t="e">
        <f t="shared" si="7"/>
        <v>#N/A</v>
      </c>
      <c r="E222" s="13" t="e">
        <f>IFERROR(E221*(1+Simulador!$G$12)+C222,NA())</f>
        <v>#N/A</v>
      </c>
      <c r="F222" s="13" t="e">
        <f>IFERROR(E222*Simulador!$B$11/12,NA())</f>
        <v>#N/A</v>
      </c>
    </row>
    <row r="223" spans="1:6" ht="18" customHeight="1">
      <c r="A223" s="1" t="e">
        <f>IF(ROW()-4&lt;=Simulador!$B$9*12,ROW()-4,NA())</f>
        <v>#N/A</v>
      </c>
      <c r="B223" s="10" t="e">
        <f t="shared" ca="1" si="6"/>
        <v>#N/A</v>
      </c>
      <c r="C223" s="13" t="e">
        <f>IFERROR(Simulador!$B$7*(1+Simulador!$B$12)^INT((A223-1)/12),NA())</f>
        <v>#N/A</v>
      </c>
      <c r="D223" s="13" t="e">
        <f t="shared" si="7"/>
        <v>#N/A</v>
      </c>
      <c r="E223" s="13" t="e">
        <f>IFERROR(E222*(1+Simulador!$G$12)+C223,NA())</f>
        <v>#N/A</v>
      </c>
      <c r="F223" s="13" t="e">
        <f>IFERROR(E223*Simulador!$B$11/12,NA())</f>
        <v>#N/A</v>
      </c>
    </row>
    <row r="224" spans="1:6" ht="18" customHeight="1">
      <c r="A224" s="1" t="e">
        <f>IF(ROW()-4&lt;=Simulador!$B$9*12,ROW()-4,NA())</f>
        <v>#N/A</v>
      </c>
      <c r="B224" s="10" t="e">
        <f t="shared" ca="1" si="6"/>
        <v>#N/A</v>
      </c>
      <c r="C224" s="13" t="e">
        <f>IFERROR(Simulador!$B$7*(1+Simulador!$B$12)^INT((A224-1)/12),NA())</f>
        <v>#N/A</v>
      </c>
      <c r="D224" s="13" t="e">
        <f t="shared" si="7"/>
        <v>#N/A</v>
      </c>
      <c r="E224" s="13" t="e">
        <f>IFERROR(E223*(1+Simulador!$G$12)+C224,NA())</f>
        <v>#N/A</v>
      </c>
      <c r="F224" s="13" t="e">
        <f>IFERROR(E224*Simulador!$B$11/12,NA())</f>
        <v>#N/A</v>
      </c>
    </row>
    <row r="225" spans="1:6" ht="18" customHeight="1">
      <c r="A225" s="1" t="e">
        <f>IF(ROW()-4&lt;=Simulador!$B$9*12,ROW()-4,NA())</f>
        <v>#N/A</v>
      </c>
      <c r="B225" s="10" t="e">
        <f t="shared" ca="1" si="6"/>
        <v>#N/A</v>
      </c>
      <c r="C225" s="13" t="e">
        <f>IFERROR(Simulador!$B$7*(1+Simulador!$B$12)^INT((A225-1)/12),NA())</f>
        <v>#N/A</v>
      </c>
      <c r="D225" s="13" t="e">
        <f t="shared" si="7"/>
        <v>#N/A</v>
      </c>
      <c r="E225" s="13" t="e">
        <f>IFERROR(E224*(1+Simulador!$G$12)+C225,NA())</f>
        <v>#N/A</v>
      </c>
      <c r="F225" s="13" t="e">
        <f>IFERROR(E225*Simulador!$B$11/12,NA())</f>
        <v>#N/A</v>
      </c>
    </row>
    <row r="226" spans="1:6" ht="18" customHeight="1">
      <c r="A226" s="1" t="e">
        <f>IF(ROW()-4&lt;=Simulador!$B$9*12,ROW()-4,NA())</f>
        <v>#N/A</v>
      </c>
      <c r="B226" s="10" t="e">
        <f t="shared" ca="1" si="6"/>
        <v>#N/A</v>
      </c>
      <c r="C226" s="13" t="e">
        <f>IFERROR(Simulador!$B$7*(1+Simulador!$B$12)^INT((A226-1)/12),NA())</f>
        <v>#N/A</v>
      </c>
      <c r="D226" s="13" t="e">
        <f t="shared" si="7"/>
        <v>#N/A</v>
      </c>
      <c r="E226" s="13" t="e">
        <f>IFERROR(E225*(1+Simulador!$G$12)+C226,NA())</f>
        <v>#N/A</v>
      </c>
      <c r="F226" s="13" t="e">
        <f>IFERROR(E226*Simulador!$B$11/12,NA())</f>
        <v>#N/A</v>
      </c>
    </row>
    <row r="227" spans="1:6" ht="18" customHeight="1">
      <c r="A227" s="1" t="e">
        <f>IF(ROW()-4&lt;=Simulador!$B$9*12,ROW()-4,NA())</f>
        <v>#N/A</v>
      </c>
      <c r="B227" s="10" t="e">
        <f t="shared" ca="1" si="6"/>
        <v>#N/A</v>
      </c>
      <c r="C227" s="13" t="e">
        <f>IFERROR(Simulador!$B$7*(1+Simulador!$B$12)^INT((A227-1)/12),NA())</f>
        <v>#N/A</v>
      </c>
      <c r="D227" s="13" t="e">
        <f t="shared" si="7"/>
        <v>#N/A</v>
      </c>
      <c r="E227" s="13" t="e">
        <f>IFERROR(E226*(1+Simulador!$G$12)+C227,NA())</f>
        <v>#N/A</v>
      </c>
      <c r="F227" s="13" t="e">
        <f>IFERROR(E227*Simulador!$B$11/12,NA())</f>
        <v>#N/A</v>
      </c>
    </row>
    <row r="228" spans="1:6" ht="18" customHeight="1">
      <c r="A228" s="1" t="e">
        <f>IF(ROW()-4&lt;=Simulador!$B$9*12,ROW()-4,NA())</f>
        <v>#N/A</v>
      </c>
      <c r="B228" s="10" t="e">
        <f t="shared" ca="1" si="6"/>
        <v>#N/A</v>
      </c>
      <c r="C228" s="13" t="e">
        <f>IFERROR(Simulador!$B$7*(1+Simulador!$B$12)^INT((A228-1)/12),NA())</f>
        <v>#N/A</v>
      </c>
      <c r="D228" s="13" t="e">
        <f t="shared" si="7"/>
        <v>#N/A</v>
      </c>
      <c r="E228" s="13" t="e">
        <f>IFERROR(E227*(1+Simulador!$G$12)+C228,NA())</f>
        <v>#N/A</v>
      </c>
      <c r="F228" s="13" t="e">
        <f>IFERROR(E228*Simulador!$B$11/12,NA())</f>
        <v>#N/A</v>
      </c>
    </row>
    <row r="229" spans="1:6" ht="18" customHeight="1">
      <c r="A229" s="1" t="e">
        <f>IF(ROW()-4&lt;=Simulador!$B$9*12,ROW()-4,NA())</f>
        <v>#N/A</v>
      </c>
      <c r="B229" s="10" t="e">
        <f t="shared" ca="1" si="6"/>
        <v>#N/A</v>
      </c>
      <c r="C229" s="13" t="e">
        <f>IFERROR(Simulador!$B$7*(1+Simulador!$B$12)^INT((A229-1)/12),NA())</f>
        <v>#N/A</v>
      </c>
      <c r="D229" s="13" t="e">
        <f t="shared" si="7"/>
        <v>#N/A</v>
      </c>
      <c r="E229" s="13" t="e">
        <f>IFERROR(E228*(1+Simulador!$G$12)+C229,NA())</f>
        <v>#N/A</v>
      </c>
      <c r="F229" s="13" t="e">
        <f>IFERROR(E229*Simulador!$B$11/12,NA())</f>
        <v>#N/A</v>
      </c>
    </row>
    <row r="230" spans="1:6" ht="18" customHeight="1">
      <c r="A230" s="1" t="e">
        <f>IF(ROW()-4&lt;=Simulador!$B$9*12,ROW()-4,NA())</f>
        <v>#N/A</v>
      </c>
      <c r="B230" s="10" t="e">
        <f t="shared" ca="1" si="6"/>
        <v>#N/A</v>
      </c>
      <c r="C230" s="13" t="e">
        <f>IFERROR(Simulador!$B$7*(1+Simulador!$B$12)^INT((A230-1)/12),NA())</f>
        <v>#N/A</v>
      </c>
      <c r="D230" s="13" t="e">
        <f t="shared" si="7"/>
        <v>#N/A</v>
      </c>
      <c r="E230" s="13" t="e">
        <f>IFERROR(E229*(1+Simulador!$G$12)+C230,NA())</f>
        <v>#N/A</v>
      </c>
      <c r="F230" s="13" t="e">
        <f>IFERROR(E230*Simulador!$B$11/12,NA())</f>
        <v>#N/A</v>
      </c>
    </row>
    <row r="231" spans="1:6" ht="18" customHeight="1">
      <c r="A231" s="1" t="e">
        <f>IF(ROW()-4&lt;=Simulador!$B$9*12,ROW()-4,NA())</f>
        <v>#N/A</v>
      </c>
      <c r="B231" s="10" t="e">
        <f t="shared" ca="1" si="6"/>
        <v>#N/A</v>
      </c>
      <c r="C231" s="13" t="e">
        <f>IFERROR(Simulador!$B$7*(1+Simulador!$B$12)^INT((A231-1)/12),NA())</f>
        <v>#N/A</v>
      </c>
      <c r="D231" s="13" t="e">
        <f t="shared" si="7"/>
        <v>#N/A</v>
      </c>
      <c r="E231" s="13" t="e">
        <f>IFERROR(E230*(1+Simulador!$G$12)+C231,NA())</f>
        <v>#N/A</v>
      </c>
      <c r="F231" s="13" t="e">
        <f>IFERROR(E231*Simulador!$B$11/12,NA())</f>
        <v>#N/A</v>
      </c>
    </row>
    <row r="232" spans="1:6" ht="18" customHeight="1">
      <c r="A232" s="1" t="e">
        <f>IF(ROW()-4&lt;=Simulador!$B$9*12,ROW()-4,NA())</f>
        <v>#N/A</v>
      </c>
      <c r="B232" s="10" t="e">
        <f t="shared" ca="1" si="6"/>
        <v>#N/A</v>
      </c>
      <c r="C232" s="13" t="e">
        <f>IFERROR(Simulador!$B$7*(1+Simulador!$B$12)^INT((A232-1)/12),NA())</f>
        <v>#N/A</v>
      </c>
      <c r="D232" s="13" t="e">
        <f t="shared" si="7"/>
        <v>#N/A</v>
      </c>
      <c r="E232" s="13" t="e">
        <f>IFERROR(E231*(1+Simulador!$G$12)+C232,NA())</f>
        <v>#N/A</v>
      </c>
      <c r="F232" s="13" t="e">
        <f>IFERROR(E232*Simulador!$B$11/12,NA())</f>
        <v>#N/A</v>
      </c>
    </row>
    <row r="233" spans="1:6" ht="18" customHeight="1">
      <c r="A233" s="1" t="e">
        <f>IF(ROW()-4&lt;=Simulador!$B$9*12,ROW()-4,NA())</f>
        <v>#N/A</v>
      </c>
      <c r="B233" s="10" t="e">
        <f t="shared" ca="1" si="6"/>
        <v>#N/A</v>
      </c>
      <c r="C233" s="13" t="e">
        <f>IFERROR(Simulador!$B$7*(1+Simulador!$B$12)^INT((A233-1)/12),NA())</f>
        <v>#N/A</v>
      </c>
      <c r="D233" s="13" t="e">
        <f t="shared" si="7"/>
        <v>#N/A</v>
      </c>
      <c r="E233" s="13" t="e">
        <f>IFERROR(E232*(1+Simulador!$G$12)+C233,NA())</f>
        <v>#N/A</v>
      </c>
      <c r="F233" s="13" t="e">
        <f>IFERROR(E233*Simulador!$B$11/12,NA())</f>
        <v>#N/A</v>
      </c>
    </row>
    <row r="234" spans="1:6" ht="18" customHeight="1">
      <c r="A234" s="1" t="e">
        <f>IF(ROW()-4&lt;=Simulador!$B$9*12,ROW()-4,NA())</f>
        <v>#N/A</v>
      </c>
      <c r="B234" s="10" t="e">
        <f t="shared" ca="1" si="6"/>
        <v>#N/A</v>
      </c>
      <c r="C234" s="13" t="e">
        <f>IFERROR(Simulador!$B$7*(1+Simulador!$B$12)^INT((A234-1)/12),NA())</f>
        <v>#N/A</v>
      </c>
      <c r="D234" s="13" t="e">
        <f t="shared" si="7"/>
        <v>#N/A</v>
      </c>
      <c r="E234" s="13" t="e">
        <f>IFERROR(E233*(1+Simulador!$G$12)+C234,NA())</f>
        <v>#N/A</v>
      </c>
      <c r="F234" s="13" t="e">
        <f>IFERROR(E234*Simulador!$B$11/12,NA())</f>
        <v>#N/A</v>
      </c>
    </row>
    <row r="235" spans="1:6" ht="18" customHeight="1">
      <c r="A235" s="1" t="e">
        <f>IF(ROW()-4&lt;=Simulador!$B$9*12,ROW()-4,NA())</f>
        <v>#N/A</v>
      </c>
      <c r="B235" s="10" t="e">
        <f t="shared" ca="1" si="6"/>
        <v>#N/A</v>
      </c>
      <c r="C235" s="13" t="e">
        <f>IFERROR(Simulador!$B$7*(1+Simulador!$B$12)^INT((A235-1)/12),NA())</f>
        <v>#N/A</v>
      </c>
      <c r="D235" s="13" t="e">
        <f t="shared" si="7"/>
        <v>#N/A</v>
      </c>
      <c r="E235" s="13" t="e">
        <f>IFERROR(E234*(1+Simulador!$G$12)+C235,NA())</f>
        <v>#N/A</v>
      </c>
      <c r="F235" s="13" t="e">
        <f>IFERROR(E235*Simulador!$B$11/12,NA())</f>
        <v>#N/A</v>
      </c>
    </row>
    <row r="236" spans="1:6" ht="18" customHeight="1">
      <c r="A236" s="1" t="e">
        <f>IF(ROW()-4&lt;=Simulador!$B$9*12,ROW()-4,NA())</f>
        <v>#N/A</v>
      </c>
      <c r="B236" s="10" t="e">
        <f t="shared" ca="1" si="6"/>
        <v>#N/A</v>
      </c>
      <c r="C236" s="13" t="e">
        <f>IFERROR(Simulador!$B$7*(1+Simulador!$B$12)^INT((A236-1)/12),NA())</f>
        <v>#N/A</v>
      </c>
      <c r="D236" s="13" t="e">
        <f t="shared" si="7"/>
        <v>#N/A</v>
      </c>
      <c r="E236" s="13" t="e">
        <f>IFERROR(E235*(1+Simulador!$G$12)+C236,NA())</f>
        <v>#N/A</v>
      </c>
      <c r="F236" s="13" t="e">
        <f>IFERROR(E236*Simulador!$B$11/12,NA())</f>
        <v>#N/A</v>
      </c>
    </row>
    <row r="237" spans="1:6" ht="18" customHeight="1">
      <c r="A237" s="1" t="e">
        <f>IF(ROW()-4&lt;=Simulador!$B$9*12,ROW()-4,NA())</f>
        <v>#N/A</v>
      </c>
      <c r="B237" s="10" t="e">
        <f t="shared" ca="1" si="6"/>
        <v>#N/A</v>
      </c>
      <c r="C237" s="13" t="e">
        <f>IFERROR(Simulador!$B$7*(1+Simulador!$B$12)^INT((A237-1)/12),NA())</f>
        <v>#N/A</v>
      </c>
      <c r="D237" s="13" t="e">
        <f t="shared" si="7"/>
        <v>#N/A</v>
      </c>
      <c r="E237" s="13" t="e">
        <f>IFERROR(E236*(1+Simulador!$G$12)+C237,NA())</f>
        <v>#N/A</v>
      </c>
      <c r="F237" s="13" t="e">
        <f>IFERROR(E237*Simulador!$B$11/12,NA())</f>
        <v>#N/A</v>
      </c>
    </row>
    <row r="238" spans="1:6" ht="18" customHeight="1">
      <c r="A238" s="1" t="e">
        <f>IF(ROW()-4&lt;=Simulador!$B$9*12,ROW()-4,NA())</f>
        <v>#N/A</v>
      </c>
      <c r="B238" s="10" t="e">
        <f t="shared" ca="1" si="6"/>
        <v>#N/A</v>
      </c>
      <c r="C238" s="13" t="e">
        <f>IFERROR(Simulador!$B$7*(1+Simulador!$B$12)^INT((A238-1)/12),NA())</f>
        <v>#N/A</v>
      </c>
      <c r="D238" s="13" t="e">
        <f t="shared" si="7"/>
        <v>#N/A</v>
      </c>
      <c r="E238" s="13" t="e">
        <f>IFERROR(E237*(1+Simulador!$G$12)+C238,NA())</f>
        <v>#N/A</v>
      </c>
      <c r="F238" s="13" t="e">
        <f>IFERROR(E238*Simulador!$B$11/12,NA())</f>
        <v>#N/A</v>
      </c>
    </row>
    <row r="239" spans="1:6" ht="18" customHeight="1">
      <c r="A239" s="1" t="e">
        <f>IF(ROW()-4&lt;=Simulador!$B$9*12,ROW()-4,NA())</f>
        <v>#N/A</v>
      </c>
      <c r="B239" s="10" t="e">
        <f t="shared" ca="1" si="6"/>
        <v>#N/A</v>
      </c>
      <c r="C239" s="13" t="e">
        <f>IFERROR(Simulador!$B$7*(1+Simulador!$B$12)^INT((A239-1)/12),NA())</f>
        <v>#N/A</v>
      </c>
      <c r="D239" s="13" t="e">
        <f t="shared" si="7"/>
        <v>#N/A</v>
      </c>
      <c r="E239" s="13" t="e">
        <f>IFERROR(E238*(1+Simulador!$G$12)+C239,NA())</f>
        <v>#N/A</v>
      </c>
      <c r="F239" s="13" t="e">
        <f>IFERROR(E239*Simulador!$B$11/12,NA())</f>
        <v>#N/A</v>
      </c>
    </row>
    <row r="240" spans="1:6" ht="18" customHeight="1">
      <c r="A240" s="1" t="e">
        <f>IF(ROW()-4&lt;=Simulador!$B$9*12,ROW()-4,NA())</f>
        <v>#N/A</v>
      </c>
      <c r="B240" s="10" t="e">
        <f t="shared" ca="1" si="6"/>
        <v>#N/A</v>
      </c>
      <c r="C240" s="13" t="e">
        <f>IFERROR(Simulador!$B$7*(1+Simulador!$B$12)^INT((A240-1)/12),NA())</f>
        <v>#N/A</v>
      </c>
      <c r="D240" s="13" t="e">
        <f t="shared" si="7"/>
        <v>#N/A</v>
      </c>
      <c r="E240" s="13" t="e">
        <f>IFERROR(E239*(1+Simulador!$G$12)+C240,NA())</f>
        <v>#N/A</v>
      </c>
      <c r="F240" s="13" t="e">
        <f>IFERROR(E240*Simulador!$B$11/12,NA())</f>
        <v>#N/A</v>
      </c>
    </row>
    <row r="241" spans="1:6" ht="18" customHeight="1">
      <c r="A241" s="1" t="e">
        <f>IF(ROW()-4&lt;=Simulador!$B$9*12,ROW()-4,NA())</f>
        <v>#N/A</v>
      </c>
      <c r="B241" s="10" t="e">
        <f t="shared" ca="1" si="6"/>
        <v>#N/A</v>
      </c>
      <c r="C241" s="13" t="e">
        <f>IFERROR(Simulador!$B$7*(1+Simulador!$B$12)^INT((A241-1)/12),NA())</f>
        <v>#N/A</v>
      </c>
      <c r="D241" s="13" t="e">
        <f t="shared" si="7"/>
        <v>#N/A</v>
      </c>
      <c r="E241" s="13" t="e">
        <f>IFERROR(E240*(1+Simulador!$G$12)+C241,NA())</f>
        <v>#N/A</v>
      </c>
      <c r="F241" s="13" t="e">
        <f>IFERROR(E241*Simulador!$B$11/12,NA())</f>
        <v>#N/A</v>
      </c>
    </row>
    <row r="242" spans="1:6" ht="18" customHeight="1">
      <c r="A242" s="1" t="e">
        <f>IF(ROW()-4&lt;=Simulador!$B$9*12,ROW()-4,NA())</f>
        <v>#N/A</v>
      </c>
      <c r="B242" s="10" t="e">
        <f t="shared" ca="1" si="6"/>
        <v>#N/A</v>
      </c>
      <c r="C242" s="13" t="e">
        <f>IFERROR(Simulador!$B$7*(1+Simulador!$B$12)^INT((A242-1)/12),NA())</f>
        <v>#N/A</v>
      </c>
      <c r="D242" s="13" t="e">
        <f t="shared" si="7"/>
        <v>#N/A</v>
      </c>
      <c r="E242" s="13" t="e">
        <f>IFERROR(E241*(1+Simulador!$G$12)+C242,NA())</f>
        <v>#N/A</v>
      </c>
      <c r="F242" s="13" t="e">
        <f>IFERROR(E242*Simulador!$B$11/12,NA())</f>
        <v>#N/A</v>
      </c>
    </row>
    <row r="243" spans="1:6" ht="18" customHeight="1">
      <c r="A243" s="1" t="e">
        <f>IF(ROW()-4&lt;=Simulador!$B$9*12,ROW()-4,NA())</f>
        <v>#N/A</v>
      </c>
      <c r="B243" s="10" t="e">
        <f t="shared" ca="1" si="6"/>
        <v>#N/A</v>
      </c>
      <c r="C243" s="13" t="e">
        <f>IFERROR(Simulador!$B$7*(1+Simulador!$B$12)^INT((A243-1)/12),NA())</f>
        <v>#N/A</v>
      </c>
      <c r="D243" s="13" t="e">
        <f t="shared" si="7"/>
        <v>#N/A</v>
      </c>
      <c r="E243" s="13" t="e">
        <f>IFERROR(E242*(1+Simulador!$G$12)+C243,NA())</f>
        <v>#N/A</v>
      </c>
      <c r="F243" s="13" t="e">
        <f>IFERROR(E243*Simulador!$B$11/12,NA())</f>
        <v>#N/A</v>
      </c>
    </row>
    <row r="244" spans="1:6" ht="18" customHeight="1">
      <c r="A244" s="1" t="e">
        <f>IF(ROW()-4&lt;=Simulador!$B$9*12,ROW()-4,NA())</f>
        <v>#N/A</v>
      </c>
      <c r="B244" s="10" t="e">
        <f t="shared" ca="1" si="6"/>
        <v>#N/A</v>
      </c>
      <c r="C244" s="13" t="e">
        <f>IFERROR(Simulador!$B$7*(1+Simulador!$B$12)^INT((A244-1)/12),NA())</f>
        <v>#N/A</v>
      </c>
      <c r="D244" s="13" t="e">
        <f t="shared" si="7"/>
        <v>#N/A</v>
      </c>
      <c r="E244" s="13" t="e">
        <f>IFERROR(E243*(1+Simulador!$G$12)+C244,NA())</f>
        <v>#N/A</v>
      </c>
      <c r="F244" s="13" t="e">
        <f>IFERROR(E244*Simulador!$B$11/12,NA())</f>
        <v>#N/A</v>
      </c>
    </row>
    <row r="245" spans="1:6" ht="18" customHeight="1">
      <c r="A245" s="1" t="e">
        <f>IF(ROW()-4&lt;=Simulador!$B$9*12,ROW()-4,NA())</f>
        <v>#N/A</v>
      </c>
      <c r="B245" s="10" t="e">
        <f t="shared" ca="1" si="6"/>
        <v>#N/A</v>
      </c>
      <c r="C245" s="13" t="e">
        <f>IFERROR(Simulador!$B$7*(1+Simulador!$B$12)^INT((A245-1)/12),NA())</f>
        <v>#N/A</v>
      </c>
      <c r="D245" s="13" t="e">
        <f t="shared" si="7"/>
        <v>#N/A</v>
      </c>
      <c r="E245" s="13" t="e">
        <f>IFERROR(E244*(1+Simulador!$G$12)+C245,NA())</f>
        <v>#N/A</v>
      </c>
      <c r="F245" s="13" t="e">
        <f>IFERROR(E245*Simulador!$B$11/12,NA())</f>
        <v>#N/A</v>
      </c>
    </row>
    <row r="246" spans="1:6" ht="18" customHeight="1">
      <c r="A246" s="1" t="e">
        <f>IF(ROW()-4&lt;=Simulador!$B$9*12,ROW()-4,NA())</f>
        <v>#N/A</v>
      </c>
      <c r="B246" s="10" t="e">
        <f t="shared" ca="1" si="6"/>
        <v>#N/A</v>
      </c>
      <c r="C246" s="13" t="e">
        <f>IFERROR(Simulador!$B$7*(1+Simulador!$B$12)^INT((A246-1)/12),NA())</f>
        <v>#N/A</v>
      </c>
      <c r="D246" s="13" t="e">
        <f t="shared" si="7"/>
        <v>#N/A</v>
      </c>
      <c r="E246" s="13" t="e">
        <f>IFERROR(E245*(1+Simulador!$G$12)+C246,NA())</f>
        <v>#N/A</v>
      </c>
      <c r="F246" s="13" t="e">
        <f>IFERROR(E246*Simulador!$B$11/12,NA())</f>
        <v>#N/A</v>
      </c>
    </row>
    <row r="247" spans="1:6" ht="18" customHeight="1">
      <c r="A247" s="1" t="e">
        <f>IF(ROW()-4&lt;=Simulador!$B$9*12,ROW()-4,NA())</f>
        <v>#N/A</v>
      </c>
      <c r="B247" s="10" t="e">
        <f t="shared" ca="1" si="6"/>
        <v>#N/A</v>
      </c>
      <c r="C247" s="13" t="e">
        <f>IFERROR(Simulador!$B$7*(1+Simulador!$B$12)^INT((A247-1)/12),NA())</f>
        <v>#N/A</v>
      </c>
      <c r="D247" s="13" t="e">
        <f t="shared" si="7"/>
        <v>#N/A</v>
      </c>
      <c r="E247" s="13" t="e">
        <f>IFERROR(E246*(1+Simulador!$G$12)+C247,NA())</f>
        <v>#N/A</v>
      </c>
      <c r="F247" s="13" t="e">
        <f>IFERROR(E247*Simulador!$B$11/12,NA())</f>
        <v>#N/A</v>
      </c>
    </row>
    <row r="248" spans="1:6" ht="18" customHeight="1">
      <c r="A248" s="1" t="e">
        <f>IF(ROW()-4&lt;=Simulador!$B$9*12,ROW()-4,NA())</f>
        <v>#N/A</v>
      </c>
      <c r="B248" s="10" t="e">
        <f t="shared" ca="1" si="6"/>
        <v>#N/A</v>
      </c>
      <c r="C248" s="13" t="e">
        <f>IFERROR(Simulador!$B$7*(1+Simulador!$B$12)^INT((A248-1)/12),NA())</f>
        <v>#N/A</v>
      </c>
      <c r="D248" s="13" t="e">
        <f t="shared" si="7"/>
        <v>#N/A</v>
      </c>
      <c r="E248" s="13" t="e">
        <f>IFERROR(E247*(1+Simulador!$G$12)+C248,NA())</f>
        <v>#N/A</v>
      </c>
      <c r="F248" s="13" t="e">
        <f>IFERROR(E248*Simulador!$B$11/12,NA())</f>
        <v>#N/A</v>
      </c>
    </row>
    <row r="249" spans="1:6" ht="18" customHeight="1">
      <c r="A249" s="1" t="e">
        <f>IF(ROW()-4&lt;=Simulador!$B$9*12,ROW()-4,NA())</f>
        <v>#N/A</v>
      </c>
      <c r="B249" s="10" t="e">
        <f t="shared" ca="1" si="6"/>
        <v>#N/A</v>
      </c>
      <c r="C249" s="13" t="e">
        <f>IFERROR(Simulador!$B$7*(1+Simulador!$B$12)^INT((A249-1)/12),NA())</f>
        <v>#N/A</v>
      </c>
      <c r="D249" s="13" t="e">
        <f t="shared" si="7"/>
        <v>#N/A</v>
      </c>
      <c r="E249" s="13" t="e">
        <f>IFERROR(E248*(1+Simulador!$G$12)+C249,NA())</f>
        <v>#N/A</v>
      </c>
      <c r="F249" s="13" t="e">
        <f>IFERROR(E249*Simulador!$B$11/12,NA())</f>
        <v>#N/A</v>
      </c>
    </row>
    <row r="250" spans="1:6" ht="18" customHeight="1">
      <c r="A250" s="1" t="e">
        <f>IF(ROW()-4&lt;=Simulador!$B$9*12,ROW()-4,NA())</f>
        <v>#N/A</v>
      </c>
      <c r="B250" s="10" t="e">
        <f t="shared" ca="1" si="6"/>
        <v>#N/A</v>
      </c>
      <c r="C250" s="13" t="e">
        <f>IFERROR(Simulador!$B$7*(1+Simulador!$B$12)^INT((A250-1)/12),NA())</f>
        <v>#N/A</v>
      </c>
      <c r="D250" s="13" t="e">
        <f t="shared" si="7"/>
        <v>#N/A</v>
      </c>
      <c r="E250" s="13" t="e">
        <f>IFERROR(E249*(1+Simulador!$G$12)+C250,NA())</f>
        <v>#N/A</v>
      </c>
      <c r="F250" s="13" t="e">
        <f>IFERROR(E250*Simulador!$B$11/12,NA())</f>
        <v>#N/A</v>
      </c>
    </row>
    <row r="251" spans="1:6" ht="18" customHeight="1">
      <c r="A251" s="1" t="e">
        <f>IF(ROW()-4&lt;=Simulador!$B$9*12,ROW()-4,NA())</f>
        <v>#N/A</v>
      </c>
      <c r="B251" s="10" t="e">
        <f t="shared" ca="1" si="6"/>
        <v>#N/A</v>
      </c>
      <c r="C251" s="13" t="e">
        <f>IFERROR(Simulador!$B$7*(1+Simulador!$B$12)^INT((A251-1)/12),NA())</f>
        <v>#N/A</v>
      </c>
      <c r="D251" s="13" t="e">
        <f t="shared" si="7"/>
        <v>#N/A</v>
      </c>
      <c r="E251" s="13" t="e">
        <f>IFERROR(E250*(1+Simulador!$G$12)+C251,NA())</f>
        <v>#N/A</v>
      </c>
      <c r="F251" s="13" t="e">
        <f>IFERROR(E251*Simulador!$B$11/12,NA())</f>
        <v>#N/A</v>
      </c>
    </row>
    <row r="252" spans="1:6" ht="18" customHeight="1">
      <c r="A252" s="1" t="e">
        <f>IF(ROW()-4&lt;=Simulador!$B$9*12,ROW()-4,NA())</f>
        <v>#N/A</v>
      </c>
      <c r="B252" s="10" t="e">
        <f t="shared" ca="1" si="6"/>
        <v>#N/A</v>
      </c>
      <c r="C252" s="13" t="e">
        <f>IFERROR(Simulador!$B$7*(1+Simulador!$B$12)^INT((A252-1)/12),NA())</f>
        <v>#N/A</v>
      </c>
      <c r="D252" s="13" t="e">
        <f t="shared" si="7"/>
        <v>#N/A</v>
      </c>
      <c r="E252" s="13" t="e">
        <f>IFERROR(E251*(1+Simulador!$G$12)+C252,NA())</f>
        <v>#N/A</v>
      </c>
      <c r="F252" s="13" t="e">
        <f>IFERROR(E252*Simulador!$B$11/12,NA())</f>
        <v>#N/A</v>
      </c>
    </row>
    <row r="253" spans="1:6" ht="18" customHeight="1">
      <c r="A253" s="1" t="e">
        <f>IF(ROW()-4&lt;=Simulador!$B$9*12,ROW()-4,NA())</f>
        <v>#N/A</v>
      </c>
      <c r="B253" s="10" t="e">
        <f t="shared" ca="1" si="6"/>
        <v>#N/A</v>
      </c>
      <c r="C253" s="13" t="e">
        <f>IFERROR(Simulador!$B$7*(1+Simulador!$B$12)^INT((A253-1)/12),NA())</f>
        <v>#N/A</v>
      </c>
      <c r="D253" s="13" t="e">
        <f t="shared" si="7"/>
        <v>#N/A</v>
      </c>
      <c r="E253" s="13" t="e">
        <f>IFERROR(E252*(1+Simulador!$G$12)+C253,NA())</f>
        <v>#N/A</v>
      </c>
      <c r="F253" s="13" t="e">
        <f>IFERROR(E253*Simulador!$B$11/12,NA())</f>
        <v>#N/A</v>
      </c>
    </row>
    <row r="254" spans="1:6" ht="18" customHeight="1">
      <c r="A254" s="1" t="e">
        <f>IF(ROW()-4&lt;=Simulador!$B$9*12,ROW()-4,NA())</f>
        <v>#N/A</v>
      </c>
      <c r="B254" s="10" t="e">
        <f t="shared" ca="1" si="6"/>
        <v>#N/A</v>
      </c>
      <c r="C254" s="13" t="e">
        <f>IFERROR(Simulador!$B$7*(1+Simulador!$B$12)^INT((A254-1)/12),NA())</f>
        <v>#N/A</v>
      </c>
      <c r="D254" s="13" t="e">
        <f t="shared" si="7"/>
        <v>#N/A</v>
      </c>
      <c r="E254" s="13" t="e">
        <f>IFERROR(E253*(1+Simulador!$G$12)+C254,NA())</f>
        <v>#N/A</v>
      </c>
      <c r="F254" s="13" t="e">
        <f>IFERROR(E254*Simulador!$B$11/12,NA())</f>
        <v>#N/A</v>
      </c>
    </row>
    <row r="255" spans="1:6" ht="18" customHeight="1">
      <c r="A255" s="1" t="e">
        <f>IF(ROW()-4&lt;=Simulador!$B$9*12,ROW()-4,NA())</f>
        <v>#N/A</v>
      </c>
      <c r="B255" s="10" t="e">
        <f t="shared" ca="1" si="6"/>
        <v>#N/A</v>
      </c>
      <c r="C255" s="13" t="e">
        <f>IFERROR(Simulador!$B$7*(1+Simulador!$B$12)^INT((A255-1)/12),NA())</f>
        <v>#N/A</v>
      </c>
      <c r="D255" s="13" t="e">
        <f t="shared" si="7"/>
        <v>#N/A</v>
      </c>
      <c r="E255" s="13" t="e">
        <f>IFERROR(E254*(1+Simulador!$G$12)+C255,NA())</f>
        <v>#N/A</v>
      </c>
      <c r="F255" s="13" t="e">
        <f>IFERROR(E255*Simulador!$B$11/12,NA())</f>
        <v>#N/A</v>
      </c>
    </row>
    <row r="256" spans="1:6" ht="18" customHeight="1">
      <c r="A256" s="1" t="e">
        <f>IF(ROW()-4&lt;=Simulador!$B$9*12,ROW()-4,NA())</f>
        <v>#N/A</v>
      </c>
      <c r="B256" s="10" t="e">
        <f t="shared" ca="1" si="6"/>
        <v>#N/A</v>
      </c>
      <c r="C256" s="13" t="e">
        <f>IFERROR(Simulador!$B$7*(1+Simulador!$B$12)^INT((A256-1)/12),NA())</f>
        <v>#N/A</v>
      </c>
      <c r="D256" s="13" t="e">
        <f t="shared" si="7"/>
        <v>#N/A</v>
      </c>
      <c r="E256" s="13" t="e">
        <f>IFERROR(E255*(1+Simulador!$G$12)+C256,NA())</f>
        <v>#N/A</v>
      </c>
      <c r="F256" s="13" t="e">
        <f>IFERROR(E256*Simulador!$B$11/12,NA())</f>
        <v>#N/A</v>
      </c>
    </row>
    <row r="257" spans="1:6" ht="18" customHeight="1">
      <c r="A257" s="1" t="e">
        <f>IF(ROW()-4&lt;=Simulador!$B$9*12,ROW()-4,NA())</f>
        <v>#N/A</v>
      </c>
      <c r="B257" s="10" t="e">
        <f t="shared" ca="1" si="6"/>
        <v>#N/A</v>
      </c>
      <c r="C257" s="13" t="e">
        <f>IFERROR(Simulador!$B$7*(1+Simulador!$B$12)^INT((A257-1)/12),NA())</f>
        <v>#N/A</v>
      </c>
      <c r="D257" s="13" t="e">
        <f t="shared" si="7"/>
        <v>#N/A</v>
      </c>
      <c r="E257" s="13" t="e">
        <f>IFERROR(E256*(1+Simulador!$G$12)+C257,NA())</f>
        <v>#N/A</v>
      </c>
      <c r="F257" s="13" t="e">
        <f>IFERROR(E257*Simulador!$B$11/12,NA())</f>
        <v>#N/A</v>
      </c>
    </row>
    <row r="258" spans="1:6" ht="18" customHeight="1">
      <c r="A258" s="1" t="e">
        <f>IF(ROW()-4&lt;=Simulador!$B$9*12,ROW()-4,NA())</f>
        <v>#N/A</v>
      </c>
      <c r="B258" s="10" t="e">
        <f t="shared" ca="1" si="6"/>
        <v>#N/A</v>
      </c>
      <c r="C258" s="13" t="e">
        <f>IFERROR(Simulador!$B$7*(1+Simulador!$B$12)^INT((A258-1)/12),NA())</f>
        <v>#N/A</v>
      </c>
      <c r="D258" s="13" t="e">
        <f t="shared" si="7"/>
        <v>#N/A</v>
      </c>
      <c r="E258" s="13" t="e">
        <f>IFERROR(E257*(1+Simulador!$G$12)+C258,NA())</f>
        <v>#N/A</v>
      </c>
      <c r="F258" s="13" t="e">
        <f>IFERROR(E258*Simulador!$B$11/12,NA())</f>
        <v>#N/A</v>
      </c>
    </row>
    <row r="259" spans="1:6" ht="18" customHeight="1">
      <c r="A259" s="1" t="e">
        <f>IF(ROW()-4&lt;=Simulador!$B$9*12,ROW()-4,NA())</f>
        <v>#N/A</v>
      </c>
      <c r="B259" s="10" t="e">
        <f t="shared" ca="1" si="6"/>
        <v>#N/A</v>
      </c>
      <c r="C259" s="13" t="e">
        <f>IFERROR(Simulador!$B$7*(1+Simulador!$B$12)^INT((A259-1)/12),NA())</f>
        <v>#N/A</v>
      </c>
      <c r="D259" s="13" t="e">
        <f t="shared" si="7"/>
        <v>#N/A</v>
      </c>
      <c r="E259" s="13" t="e">
        <f>IFERROR(E258*(1+Simulador!$G$12)+C259,NA())</f>
        <v>#N/A</v>
      </c>
      <c r="F259" s="13" t="e">
        <f>IFERROR(E259*Simulador!$B$11/12,NA())</f>
        <v>#N/A</v>
      </c>
    </row>
    <row r="260" spans="1:6" ht="18" customHeight="1">
      <c r="A260" s="1" t="e">
        <f>IF(ROW()-4&lt;=Simulador!$B$9*12,ROW()-4,NA())</f>
        <v>#N/A</v>
      </c>
      <c r="B260" s="10" t="e">
        <f t="shared" ca="1" si="6"/>
        <v>#N/A</v>
      </c>
      <c r="C260" s="13" t="e">
        <f>IFERROR(Simulador!$B$7*(1+Simulador!$B$12)^INT((A260-1)/12),NA())</f>
        <v>#N/A</v>
      </c>
      <c r="D260" s="13" t="e">
        <f t="shared" si="7"/>
        <v>#N/A</v>
      </c>
      <c r="E260" s="13" t="e">
        <f>IFERROR(E259*(1+Simulador!$G$12)+C260,NA())</f>
        <v>#N/A</v>
      </c>
      <c r="F260" s="13" t="e">
        <f>IFERROR(E260*Simulador!$B$11/12,NA())</f>
        <v>#N/A</v>
      </c>
    </row>
    <row r="261" spans="1:6" ht="18" customHeight="1">
      <c r="A261" s="1" t="e">
        <f>IF(ROW()-4&lt;=Simulador!$B$9*12,ROW()-4,NA())</f>
        <v>#N/A</v>
      </c>
      <c r="B261" s="10" t="e">
        <f t="shared" ca="1" si="6"/>
        <v>#N/A</v>
      </c>
      <c r="C261" s="13" t="e">
        <f>IFERROR(Simulador!$B$7*(1+Simulador!$B$12)^INT((A261-1)/12),NA())</f>
        <v>#N/A</v>
      </c>
      <c r="D261" s="13" t="e">
        <f t="shared" si="7"/>
        <v>#N/A</v>
      </c>
      <c r="E261" s="13" t="e">
        <f>IFERROR(E260*(1+Simulador!$G$12)+C261,NA())</f>
        <v>#N/A</v>
      </c>
      <c r="F261" s="13" t="e">
        <f>IFERROR(E261*Simulador!$B$11/12,NA())</f>
        <v>#N/A</v>
      </c>
    </row>
    <row r="262" spans="1:6" ht="18" customHeight="1">
      <c r="A262" s="1" t="e">
        <f>IF(ROW()-4&lt;=Simulador!$B$9*12,ROW()-4,NA())</f>
        <v>#N/A</v>
      </c>
      <c r="B262" s="10" t="e">
        <f t="shared" ref="B262:B325" ca="1" si="8">IFERROR(EDATE($B$4,A262),NA())</f>
        <v>#N/A</v>
      </c>
      <c r="C262" s="13" t="e">
        <f>IFERROR(Simulador!$B$7*(1+Simulador!$B$12)^INT((A262-1)/12),NA())</f>
        <v>#N/A</v>
      </c>
      <c r="D262" s="13" t="e">
        <f t="shared" ref="D262:D325" si="9">IFERROR(D261+C262,NA())</f>
        <v>#N/A</v>
      </c>
      <c r="E262" s="13" t="e">
        <f>IFERROR(E261*(1+Simulador!$G$12)+C262,NA())</f>
        <v>#N/A</v>
      </c>
      <c r="F262" s="13" t="e">
        <f>IFERROR(E262*Simulador!$B$11/12,NA())</f>
        <v>#N/A</v>
      </c>
    </row>
    <row r="263" spans="1:6" ht="18" customHeight="1">
      <c r="A263" s="1" t="e">
        <f>IF(ROW()-4&lt;=Simulador!$B$9*12,ROW()-4,NA())</f>
        <v>#N/A</v>
      </c>
      <c r="B263" s="10" t="e">
        <f t="shared" ca="1" si="8"/>
        <v>#N/A</v>
      </c>
      <c r="C263" s="13" t="e">
        <f>IFERROR(Simulador!$B$7*(1+Simulador!$B$12)^INT((A263-1)/12),NA())</f>
        <v>#N/A</v>
      </c>
      <c r="D263" s="13" t="e">
        <f t="shared" si="9"/>
        <v>#N/A</v>
      </c>
      <c r="E263" s="13" t="e">
        <f>IFERROR(E262*(1+Simulador!$G$12)+C263,NA())</f>
        <v>#N/A</v>
      </c>
      <c r="F263" s="13" t="e">
        <f>IFERROR(E263*Simulador!$B$11/12,NA())</f>
        <v>#N/A</v>
      </c>
    </row>
    <row r="264" spans="1:6" ht="18" customHeight="1">
      <c r="A264" s="1" t="e">
        <f>IF(ROW()-4&lt;=Simulador!$B$9*12,ROW()-4,NA())</f>
        <v>#N/A</v>
      </c>
      <c r="B264" s="10" t="e">
        <f t="shared" ca="1" si="8"/>
        <v>#N/A</v>
      </c>
      <c r="C264" s="13" t="e">
        <f>IFERROR(Simulador!$B$7*(1+Simulador!$B$12)^INT((A264-1)/12),NA())</f>
        <v>#N/A</v>
      </c>
      <c r="D264" s="13" t="e">
        <f t="shared" si="9"/>
        <v>#N/A</v>
      </c>
      <c r="E264" s="13" t="e">
        <f>IFERROR(E263*(1+Simulador!$G$12)+C264,NA())</f>
        <v>#N/A</v>
      </c>
      <c r="F264" s="13" t="e">
        <f>IFERROR(E264*Simulador!$B$11/12,NA())</f>
        <v>#N/A</v>
      </c>
    </row>
    <row r="265" spans="1:6" ht="18" customHeight="1">
      <c r="A265" s="1" t="e">
        <f>IF(ROW()-4&lt;=Simulador!$B$9*12,ROW()-4,NA())</f>
        <v>#N/A</v>
      </c>
      <c r="B265" s="10" t="e">
        <f t="shared" ca="1" si="8"/>
        <v>#N/A</v>
      </c>
      <c r="C265" s="13" t="e">
        <f>IFERROR(Simulador!$B$7*(1+Simulador!$B$12)^INT((A265-1)/12),NA())</f>
        <v>#N/A</v>
      </c>
      <c r="D265" s="13" t="e">
        <f t="shared" si="9"/>
        <v>#N/A</v>
      </c>
      <c r="E265" s="13" t="e">
        <f>IFERROR(E264*(1+Simulador!$G$12)+C265,NA())</f>
        <v>#N/A</v>
      </c>
      <c r="F265" s="13" t="e">
        <f>IFERROR(E265*Simulador!$B$11/12,NA())</f>
        <v>#N/A</v>
      </c>
    </row>
    <row r="266" spans="1:6" ht="18" customHeight="1">
      <c r="A266" s="1" t="e">
        <f>IF(ROW()-4&lt;=Simulador!$B$9*12,ROW()-4,NA())</f>
        <v>#N/A</v>
      </c>
      <c r="B266" s="10" t="e">
        <f t="shared" ca="1" si="8"/>
        <v>#N/A</v>
      </c>
      <c r="C266" s="13" t="e">
        <f>IFERROR(Simulador!$B$7*(1+Simulador!$B$12)^INT((A266-1)/12),NA())</f>
        <v>#N/A</v>
      </c>
      <c r="D266" s="13" t="e">
        <f t="shared" si="9"/>
        <v>#N/A</v>
      </c>
      <c r="E266" s="13" t="e">
        <f>IFERROR(E265*(1+Simulador!$G$12)+C266,NA())</f>
        <v>#N/A</v>
      </c>
      <c r="F266" s="13" t="e">
        <f>IFERROR(E266*Simulador!$B$11/12,NA())</f>
        <v>#N/A</v>
      </c>
    </row>
    <row r="267" spans="1:6" ht="18" customHeight="1">
      <c r="A267" s="1" t="e">
        <f>IF(ROW()-4&lt;=Simulador!$B$9*12,ROW()-4,NA())</f>
        <v>#N/A</v>
      </c>
      <c r="B267" s="10" t="e">
        <f t="shared" ca="1" si="8"/>
        <v>#N/A</v>
      </c>
      <c r="C267" s="13" t="e">
        <f>IFERROR(Simulador!$B$7*(1+Simulador!$B$12)^INT((A267-1)/12),NA())</f>
        <v>#N/A</v>
      </c>
      <c r="D267" s="13" t="e">
        <f t="shared" si="9"/>
        <v>#N/A</v>
      </c>
      <c r="E267" s="13" t="e">
        <f>IFERROR(E266*(1+Simulador!$G$12)+C267,NA())</f>
        <v>#N/A</v>
      </c>
      <c r="F267" s="13" t="e">
        <f>IFERROR(E267*Simulador!$B$11/12,NA())</f>
        <v>#N/A</v>
      </c>
    </row>
    <row r="268" spans="1:6" ht="18" customHeight="1">
      <c r="A268" s="1" t="e">
        <f>IF(ROW()-4&lt;=Simulador!$B$9*12,ROW()-4,NA())</f>
        <v>#N/A</v>
      </c>
      <c r="B268" s="10" t="e">
        <f t="shared" ca="1" si="8"/>
        <v>#N/A</v>
      </c>
      <c r="C268" s="13" t="e">
        <f>IFERROR(Simulador!$B$7*(1+Simulador!$B$12)^INT((A268-1)/12),NA())</f>
        <v>#N/A</v>
      </c>
      <c r="D268" s="13" t="e">
        <f t="shared" si="9"/>
        <v>#N/A</v>
      </c>
      <c r="E268" s="13" t="e">
        <f>IFERROR(E267*(1+Simulador!$G$12)+C268,NA())</f>
        <v>#N/A</v>
      </c>
      <c r="F268" s="13" t="e">
        <f>IFERROR(E268*Simulador!$B$11/12,NA())</f>
        <v>#N/A</v>
      </c>
    </row>
    <row r="269" spans="1:6" ht="18" customHeight="1">
      <c r="A269" s="1" t="e">
        <f>IF(ROW()-4&lt;=Simulador!$B$9*12,ROW()-4,NA())</f>
        <v>#N/A</v>
      </c>
      <c r="B269" s="10" t="e">
        <f t="shared" ca="1" si="8"/>
        <v>#N/A</v>
      </c>
      <c r="C269" s="13" t="e">
        <f>IFERROR(Simulador!$B$7*(1+Simulador!$B$12)^INT((A269-1)/12),NA())</f>
        <v>#N/A</v>
      </c>
      <c r="D269" s="13" t="e">
        <f t="shared" si="9"/>
        <v>#N/A</v>
      </c>
      <c r="E269" s="13" t="e">
        <f>IFERROR(E268*(1+Simulador!$G$12)+C269,NA())</f>
        <v>#N/A</v>
      </c>
      <c r="F269" s="13" t="e">
        <f>IFERROR(E269*Simulador!$B$11/12,NA())</f>
        <v>#N/A</v>
      </c>
    </row>
    <row r="270" spans="1:6" ht="18" customHeight="1">
      <c r="A270" s="1" t="e">
        <f>IF(ROW()-4&lt;=Simulador!$B$9*12,ROW()-4,NA())</f>
        <v>#N/A</v>
      </c>
      <c r="B270" s="10" t="e">
        <f t="shared" ca="1" si="8"/>
        <v>#N/A</v>
      </c>
      <c r="C270" s="13" t="e">
        <f>IFERROR(Simulador!$B$7*(1+Simulador!$B$12)^INT((A270-1)/12),NA())</f>
        <v>#N/A</v>
      </c>
      <c r="D270" s="13" t="e">
        <f t="shared" si="9"/>
        <v>#N/A</v>
      </c>
      <c r="E270" s="13" t="e">
        <f>IFERROR(E269*(1+Simulador!$G$12)+C270,NA())</f>
        <v>#N/A</v>
      </c>
      <c r="F270" s="13" t="e">
        <f>IFERROR(E270*Simulador!$B$11/12,NA())</f>
        <v>#N/A</v>
      </c>
    </row>
    <row r="271" spans="1:6" ht="18" customHeight="1">
      <c r="A271" s="1" t="e">
        <f>IF(ROW()-4&lt;=Simulador!$B$9*12,ROW()-4,NA())</f>
        <v>#N/A</v>
      </c>
      <c r="B271" s="10" t="e">
        <f t="shared" ca="1" si="8"/>
        <v>#N/A</v>
      </c>
      <c r="C271" s="13" t="e">
        <f>IFERROR(Simulador!$B$7*(1+Simulador!$B$12)^INT((A271-1)/12),NA())</f>
        <v>#N/A</v>
      </c>
      <c r="D271" s="13" t="e">
        <f t="shared" si="9"/>
        <v>#N/A</v>
      </c>
      <c r="E271" s="13" t="e">
        <f>IFERROR(E270*(1+Simulador!$G$12)+C271,NA())</f>
        <v>#N/A</v>
      </c>
      <c r="F271" s="13" t="e">
        <f>IFERROR(E271*Simulador!$B$11/12,NA())</f>
        <v>#N/A</v>
      </c>
    </row>
    <row r="272" spans="1:6" ht="18" customHeight="1">
      <c r="A272" s="1" t="e">
        <f>IF(ROW()-4&lt;=Simulador!$B$9*12,ROW()-4,NA())</f>
        <v>#N/A</v>
      </c>
      <c r="B272" s="10" t="e">
        <f t="shared" ca="1" si="8"/>
        <v>#N/A</v>
      </c>
      <c r="C272" s="13" t="e">
        <f>IFERROR(Simulador!$B$7*(1+Simulador!$B$12)^INT((A272-1)/12),NA())</f>
        <v>#N/A</v>
      </c>
      <c r="D272" s="13" t="e">
        <f t="shared" si="9"/>
        <v>#N/A</v>
      </c>
      <c r="E272" s="13" t="e">
        <f>IFERROR(E271*(1+Simulador!$G$12)+C272,NA())</f>
        <v>#N/A</v>
      </c>
      <c r="F272" s="13" t="e">
        <f>IFERROR(E272*Simulador!$B$11/12,NA())</f>
        <v>#N/A</v>
      </c>
    </row>
    <row r="273" spans="1:6" ht="18" customHeight="1">
      <c r="A273" s="1" t="e">
        <f>IF(ROW()-4&lt;=Simulador!$B$9*12,ROW()-4,NA())</f>
        <v>#N/A</v>
      </c>
      <c r="B273" s="10" t="e">
        <f t="shared" ca="1" si="8"/>
        <v>#N/A</v>
      </c>
      <c r="C273" s="13" t="e">
        <f>IFERROR(Simulador!$B$7*(1+Simulador!$B$12)^INT((A273-1)/12),NA())</f>
        <v>#N/A</v>
      </c>
      <c r="D273" s="13" t="e">
        <f t="shared" si="9"/>
        <v>#N/A</v>
      </c>
      <c r="E273" s="13" t="e">
        <f>IFERROR(E272*(1+Simulador!$G$12)+C273,NA())</f>
        <v>#N/A</v>
      </c>
      <c r="F273" s="13" t="e">
        <f>IFERROR(E273*Simulador!$B$11/12,NA())</f>
        <v>#N/A</v>
      </c>
    </row>
    <row r="274" spans="1:6" ht="18" customHeight="1">
      <c r="A274" s="1" t="e">
        <f>IF(ROW()-4&lt;=Simulador!$B$9*12,ROW()-4,NA())</f>
        <v>#N/A</v>
      </c>
      <c r="B274" s="10" t="e">
        <f t="shared" ca="1" si="8"/>
        <v>#N/A</v>
      </c>
      <c r="C274" s="13" t="e">
        <f>IFERROR(Simulador!$B$7*(1+Simulador!$B$12)^INT((A274-1)/12),NA())</f>
        <v>#N/A</v>
      </c>
      <c r="D274" s="13" t="e">
        <f t="shared" si="9"/>
        <v>#N/A</v>
      </c>
      <c r="E274" s="13" t="e">
        <f>IFERROR(E273*(1+Simulador!$G$12)+C274,NA())</f>
        <v>#N/A</v>
      </c>
      <c r="F274" s="13" t="e">
        <f>IFERROR(E274*Simulador!$B$11/12,NA())</f>
        <v>#N/A</v>
      </c>
    </row>
    <row r="275" spans="1:6" ht="18" customHeight="1">
      <c r="A275" s="1" t="e">
        <f>IF(ROW()-4&lt;=Simulador!$B$9*12,ROW()-4,NA())</f>
        <v>#N/A</v>
      </c>
      <c r="B275" s="10" t="e">
        <f t="shared" ca="1" si="8"/>
        <v>#N/A</v>
      </c>
      <c r="C275" s="13" t="e">
        <f>IFERROR(Simulador!$B$7*(1+Simulador!$B$12)^INT((A275-1)/12),NA())</f>
        <v>#N/A</v>
      </c>
      <c r="D275" s="13" t="e">
        <f t="shared" si="9"/>
        <v>#N/A</v>
      </c>
      <c r="E275" s="13" t="e">
        <f>IFERROR(E274*(1+Simulador!$G$12)+C275,NA())</f>
        <v>#N/A</v>
      </c>
      <c r="F275" s="13" t="e">
        <f>IFERROR(E275*Simulador!$B$11/12,NA())</f>
        <v>#N/A</v>
      </c>
    </row>
    <row r="276" spans="1:6" ht="18" customHeight="1">
      <c r="A276" s="1" t="e">
        <f>IF(ROW()-4&lt;=Simulador!$B$9*12,ROW()-4,NA())</f>
        <v>#N/A</v>
      </c>
      <c r="B276" s="10" t="e">
        <f t="shared" ca="1" si="8"/>
        <v>#N/A</v>
      </c>
      <c r="C276" s="13" t="e">
        <f>IFERROR(Simulador!$B$7*(1+Simulador!$B$12)^INT((A276-1)/12),NA())</f>
        <v>#N/A</v>
      </c>
      <c r="D276" s="13" t="e">
        <f t="shared" si="9"/>
        <v>#N/A</v>
      </c>
      <c r="E276" s="13" t="e">
        <f>IFERROR(E275*(1+Simulador!$G$12)+C276,NA())</f>
        <v>#N/A</v>
      </c>
      <c r="F276" s="13" t="e">
        <f>IFERROR(E276*Simulador!$B$11/12,NA())</f>
        <v>#N/A</v>
      </c>
    </row>
    <row r="277" spans="1:6" ht="18" customHeight="1">
      <c r="A277" s="1" t="e">
        <f>IF(ROW()-4&lt;=Simulador!$B$9*12,ROW()-4,NA())</f>
        <v>#N/A</v>
      </c>
      <c r="B277" s="10" t="e">
        <f t="shared" ca="1" si="8"/>
        <v>#N/A</v>
      </c>
      <c r="C277" s="13" t="e">
        <f>IFERROR(Simulador!$B$7*(1+Simulador!$B$12)^INT((A277-1)/12),NA())</f>
        <v>#N/A</v>
      </c>
      <c r="D277" s="13" t="e">
        <f t="shared" si="9"/>
        <v>#N/A</v>
      </c>
      <c r="E277" s="13" t="e">
        <f>IFERROR(E276*(1+Simulador!$G$12)+C277,NA())</f>
        <v>#N/A</v>
      </c>
      <c r="F277" s="13" t="e">
        <f>IFERROR(E277*Simulador!$B$11/12,NA())</f>
        <v>#N/A</v>
      </c>
    </row>
    <row r="278" spans="1:6" ht="18" customHeight="1">
      <c r="A278" s="1" t="e">
        <f>IF(ROW()-4&lt;=Simulador!$B$9*12,ROW()-4,NA())</f>
        <v>#N/A</v>
      </c>
      <c r="B278" s="10" t="e">
        <f t="shared" ca="1" si="8"/>
        <v>#N/A</v>
      </c>
      <c r="C278" s="13" t="e">
        <f>IFERROR(Simulador!$B$7*(1+Simulador!$B$12)^INT((A278-1)/12),NA())</f>
        <v>#N/A</v>
      </c>
      <c r="D278" s="13" t="e">
        <f t="shared" si="9"/>
        <v>#N/A</v>
      </c>
      <c r="E278" s="13" t="e">
        <f>IFERROR(E277*(1+Simulador!$G$12)+C278,NA())</f>
        <v>#N/A</v>
      </c>
      <c r="F278" s="13" t="e">
        <f>IFERROR(E278*Simulador!$B$11/12,NA())</f>
        <v>#N/A</v>
      </c>
    </row>
    <row r="279" spans="1:6" ht="18" customHeight="1">
      <c r="A279" s="1" t="e">
        <f>IF(ROW()-4&lt;=Simulador!$B$9*12,ROW()-4,NA())</f>
        <v>#N/A</v>
      </c>
      <c r="B279" s="10" t="e">
        <f t="shared" ca="1" si="8"/>
        <v>#N/A</v>
      </c>
      <c r="C279" s="13" t="e">
        <f>IFERROR(Simulador!$B$7*(1+Simulador!$B$12)^INT((A279-1)/12),NA())</f>
        <v>#N/A</v>
      </c>
      <c r="D279" s="13" t="e">
        <f t="shared" si="9"/>
        <v>#N/A</v>
      </c>
      <c r="E279" s="13" t="e">
        <f>IFERROR(E278*(1+Simulador!$G$12)+C279,NA())</f>
        <v>#N/A</v>
      </c>
      <c r="F279" s="13" t="e">
        <f>IFERROR(E279*Simulador!$B$11/12,NA())</f>
        <v>#N/A</v>
      </c>
    </row>
    <row r="280" spans="1:6" ht="18" customHeight="1">
      <c r="A280" s="1" t="e">
        <f>IF(ROW()-4&lt;=Simulador!$B$9*12,ROW()-4,NA())</f>
        <v>#N/A</v>
      </c>
      <c r="B280" s="10" t="e">
        <f t="shared" ca="1" si="8"/>
        <v>#N/A</v>
      </c>
      <c r="C280" s="13" t="e">
        <f>IFERROR(Simulador!$B$7*(1+Simulador!$B$12)^INT((A280-1)/12),NA())</f>
        <v>#N/A</v>
      </c>
      <c r="D280" s="13" t="e">
        <f t="shared" si="9"/>
        <v>#N/A</v>
      </c>
      <c r="E280" s="13" t="e">
        <f>IFERROR(E279*(1+Simulador!$G$12)+C280,NA())</f>
        <v>#N/A</v>
      </c>
      <c r="F280" s="13" t="e">
        <f>IFERROR(E280*Simulador!$B$11/12,NA())</f>
        <v>#N/A</v>
      </c>
    </row>
    <row r="281" spans="1:6" ht="18" customHeight="1">
      <c r="A281" s="1" t="e">
        <f>IF(ROW()-4&lt;=Simulador!$B$9*12,ROW()-4,NA())</f>
        <v>#N/A</v>
      </c>
      <c r="B281" s="10" t="e">
        <f t="shared" ca="1" si="8"/>
        <v>#N/A</v>
      </c>
      <c r="C281" s="13" t="e">
        <f>IFERROR(Simulador!$B$7*(1+Simulador!$B$12)^INT((A281-1)/12),NA())</f>
        <v>#N/A</v>
      </c>
      <c r="D281" s="13" t="e">
        <f t="shared" si="9"/>
        <v>#N/A</v>
      </c>
      <c r="E281" s="13" t="e">
        <f>IFERROR(E280*(1+Simulador!$G$12)+C281,NA())</f>
        <v>#N/A</v>
      </c>
      <c r="F281" s="13" t="e">
        <f>IFERROR(E281*Simulador!$B$11/12,NA())</f>
        <v>#N/A</v>
      </c>
    </row>
    <row r="282" spans="1:6" ht="18" customHeight="1">
      <c r="A282" s="1" t="e">
        <f>IF(ROW()-4&lt;=Simulador!$B$9*12,ROW()-4,NA())</f>
        <v>#N/A</v>
      </c>
      <c r="B282" s="10" t="e">
        <f t="shared" ca="1" si="8"/>
        <v>#N/A</v>
      </c>
      <c r="C282" s="13" t="e">
        <f>IFERROR(Simulador!$B$7*(1+Simulador!$B$12)^INT((A282-1)/12),NA())</f>
        <v>#N/A</v>
      </c>
      <c r="D282" s="13" t="e">
        <f t="shared" si="9"/>
        <v>#N/A</v>
      </c>
      <c r="E282" s="13" t="e">
        <f>IFERROR(E281*(1+Simulador!$G$12)+C282,NA())</f>
        <v>#N/A</v>
      </c>
      <c r="F282" s="13" t="e">
        <f>IFERROR(E282*Simulador!$B$11/12,NA())</f>
        <v>#N/A</v>
      </c>
    </row>
    <row r="283" spans="1:6" ht="18" customHeight="1">
      <c r="A283" s="1" t="e">
        <f>IF(ROW()-4&lt;=Simulador!$B$9*12,ROW()-4,NA())</f>
        <v>#N/A</v>
      </c>
      <c r="B283" s="10" t="e">
        <f t="shared" ca="1" si="8"/>
        <v>#N/A</v>
      </c>
      <c r="C283" s="13" t="e">
        <f>IFERROR(Simulador!$B$7*(1+Simulador!$B$12)^INT((A283-1)/12),NA())</f>
        <v>#N/A</v>
      </c>
      <c r="D283" s="13" t="e">
        <f t="shared" si="9"/>
        <v>#N/A</v>
      </c>
      <c r="E283" s="13" t="e">
        <f>IFERROR(E282*(1+Simulador!$G$12)+C283,NA())</f>
        <v>#N/A</v>
      </c>
      <c r="F283" s="13" t="e">
        <f>IFERROR(E283*Simulador!$B$11/12,NA())</f>
        <v>#N/A</v>
      </c>
    </row>
    <row r="284" spans="1:6" ht="18" customHeight="1">
      <c r="A284" s="1" t="e">
        <f>IF(ROW()-4&lt;=Simulador!$B$9*12,ROW()-4,NA())</f>
        <v>#N/A</v>
      </c>
      <c r="B284" s="10" t="e">
        <f t="shared" ca="1" si="8"/>
        <v>#N/A</v>
      </c>
      <c r="C284" s="13" t="e">
        <f>IFERROR(Simulador!$B$7*(1+Simulador!$B$12)^INT((A284-1)/12),NA())</f>
        <v>#N/A</v>
      </c>
      <c r="D284" s="13" t="e">
        <f t="shared" si="9"/>
        <v>#N/A</v>
      </c>
      <c r="E284" s="13" t="e">
        <f>IFERROR(E283*(1+Simulador!$G$12)+C284,NA())</f>
        <v>#N/A</v>
      </c>
      <c r="F284" s="13" t="e">
        <f>IFERROR(E284*Simulador!$B$11/12,NA())</f>
        <v>#N/A</v>
      </c>
    </row>
    <row r="285" spans="1:6" ht="18" customHeight="1">
      <c r="A285" s="1" t="e">
        <f>IF(ROW()-4&lt;=Simulador!$B$9*12,ROW()-4,NA())</f>
        <v>#N/A</v>
      </c>
      <c r="B285" s="10" t="e">
        <f t="shared" ca="1" si="8"/>
        <v>#N/A</v>
      </c>
      <c r="C285" s="13" t="e">
        <f>IFERROR(Simulador!$B$7*(1+Simulador!$B$12)^INT((A285-1)/12),NA())</f>
        <v>#N/A</v>
      </c>
      <c r="D285" s="13" t="e">
        <f t="shared" si="9"/>
        <v>#N/A</v>
      </c>
      <c r="E285" s="13" t="e">
        <f>IFERROR(E284*(1+Simulador!$G$12)+C285,NA())</f>
        <v>#N/A</v>
      </c>
      <c r="F285" s="13" t="e">
        <f>IFERROR(E285*Simulador!$B$11/12,NA())</f>
        <v>#N/A</v>
      </c>
    </row>
    <row r="286" spans="1:6" ht="18" customHeight="1">
      <c r="A286" s="1" t="e">
        <f>IF(ROW()-4&lt;=Simulador!$B$9*12,ROW()-4,NA())</f>
        <v>#N/A</v>
      </c>
      <c r="B286" s="10" t="e">
        <f t="shared" ca="1" si="8"/>
        <v>#N/A</v>
      </c>
      <c r="C286" s="13" t="e">
        <f>IFERROR(Simulador!$B$7*(1+Simulador!$B$12)^INT((A286-1)/12),NA())</f>
        <v>#N/A</v>
      </c>
      <c r="D286" s="13" t="e">
        <f t="shared" si="9"/>
        <v>#N/A</v>
      </c>
      <c r="E286" s="13" t="e">
        <f>IFERROR(E285*(1+Simulador!$G$12)+C286,NA())</f>
        <v>#N/A</v>
      </c>
      <c r="F286" s="13" t="e">
        <f>IFERROR(E286*Simulador!$B$11/12,NA())</f>
        <v>#N/A</v>
      </c>
    </row>
    <row r="287" spans="1:6" ht="18" customHeight="1">
      <c r="A287" s="1" t="e">
        <f>IF(ROW()-4&lt;=Simulador!$B$9*12,ROW()-4,NA())</f>
        <v>#N/A</v>
      </c>
      <c r="B287" s="10" t="e">
        <f t="shared" ca="1" si="8"/>
        <v>#N/A</v>
      </c>
      <c r="C287" s="13" t="e">
        <f>IFERROR(Simulador!$B$7*(1+Simulador!$B$12)^INT((A287-1)/12),NA())</f>
        <v>#N/A</v>
      </c>
      <c r="D287" s="13" t="e">
        <f t="shared" si="9"/>
        <v>#N/A</v>
      </c>
      <c r="E287" s="13" t="e">
        <f>IFERROR(E286*(1+Simulador!$G$12)+C287,NA())</f>
        <v>#N/A</v>
      </c>
      <c r="F287" s="13" t="e">
        <f>IFERROR(E287*Simulador!$B$11/12,NA())</f>
        <v>#N/A</v>
      </c>
    </row>
    <row r="288" spans="1:6" ht="18" customHeight="1">
      <c r="A288" s="1" t="e">
        <f>IF(ROW()-4&lt;=Simulador!$B$9*12,ROW()-4,NA())</f>
        <v>#N/A</v>
      </c>
      <c r="B288" s="10" t="e">
        <f t="shared" ca="1" si="8"/>
        <v>#N/A</v>
      </c>
      <c r="C288" s="13" t="e">
        <f>IFERROR(Simulador!$B$7*(1+Simulador!$B$12)^INT((A288-1)/12),NA())</f>
        <v>#N/A</v>
      </c>
      <c r="D288" s="13" t="e">
        <f t="shared" si="9"/>
        <v>#N/A</v>
      </c>
      <c r="E288" s="13" t="e">
        <f>IFERROR(E287*(1+Simulador!$G$12)+C288,NA())</f>
        <v>#N/A</v>
      </c>
      <c r="F288" s="13" t="e">
        <f>IFERROR(E288*Simulador!$B$11/12,NA())</f>
        <v>#N/A</v>
      </c>
    </row>
    <row r="289" spans="1:6" ht="18" customHeight="1">
      <c r="A289" s="1" t="e">
        <f>IF(ROW()-4&lt;=Simulador!$B$9*12,ROW()-4,NA())</f>
        <v>#N/A</v>
      </c>
      <c r="B289" s="10" t="e">
        <f t="shared" ca="1" si="8"/>
        <v>#N/A</v>
      </c>
      <c r="C289" s="13" t="e">
        <f>IFERROR(Simulador!$B$7*(1+Simulador!$B$12)^INT((A289-1)/12),NA())</f>
        <v>#N/A</v>
      </c>
      <c r="D289" s="13" t="e">
        <f t="shared" si="9"/>
        <v>#N/A</v>
      </c>
      <c r="E289" s="13" t="e">
        <f>IFERROR(E288*(1+Simulador!$G$12)+C289,NA())</f>
        <v>#N/A</v>
      </c>
      <c r="F289" s="13" t="e">
        <f>IFERROR(E289*Simulador!$B$11/12,NA())</f>
        <v>#N/A</v>
      </c>
    </row>
    <row r="290" spans="1:6" ht="18" customHeight="1">
      <c r="A290" s="1" t="e">
        <f>IF(ROW()-4&lt;=Simulador!$B$9*12,ROW()-4,NA())</f>
        <v>#N/A</v>
      </c>
      <c r="B290" s="10" t="e">
        <f t="shared" ca="1" si="8"/>
        <v>#N/A</v>
      </c>
      <c r="C290" s="13" t="e">
        <f>IFERROR(Simulador!$B$7*(1+Simulador!$B$12)^INT((A290-1)/12),NA())</f>
        <v>#N/A</v>
      </c>
      <c r="D290" s="13" t="e">
        <f t="shared" si="9"/>
        <v>#N/A</v>
      </c>
      <c r="E290" s="13" t="e">
        <f>IFERROR(E289*(1+Simulador!$G$12)+C290,NA())</f>
        <v>#N/A</v>
      </c>
      <c r="F290" s="13" t="e">
        <f>IFERROR(E290*Simulador!$B$11/12,NA())</f>
        <v>#N/A</v>
      </c>
    </row>
    <row r="291" spans="1:6" ht="18" customHeight="1">
      <c r="A291" s="1" t="e">
        <f>IF(ROW()-4&lt;=Simulador!$B$9*12,ROW()-4,NA())</f>
        <v>#N/A</v>
      </c>
      <c r="B291" s="10" t="e">
        <f t="shared" ca="1" si="8"/>
        <v>#N/A</v>
      </c>
      <c r="C291" s="13" t="e">
        <f>IFERROR(Simulador!$B$7*(1+Simulador!$B$12)^INT((A291-1)/12),NA())</f>
        <v>#N/A</v>
      </c>
      <c r="D291" s="13" t="e">
        <f t="shared" si="9"/>
        <v>#N/A</v>
      </c>
      <c r="E291" s="13" t="e">
        <f>IFERROR(E290*(1+Simulador!$G$12)+C291,NA())</f>
        <v>#N/A</v>
      </c>
      <c r="F291" s="13" t="e">
        <f>IFERROR(E291*Simulador!$B$11/12,NA())</f>
        <v>#N/A</v>
      </c>
    </row>
    <row r="292" spans="1:6" ht="18" customHeight="1">
      <c r="A292" s="1" t="e">
        <f>IF(ROW()-4&lt;=Simulador!$B$9*12,ROW()-4,NA())</f>
        <v>#N/A</v>
      </c>
      <c r="B292" s="10" t="e">
        <f t="shared" ca="1" si="8"/>
        <v>#N/A</v>
      </c>
      <c r="C292" s="13" t="e">
        <f>IFERROR(Simulador!$B$7*(1+Simulador!$B$12)^INT((A292-1)/12),NA())</f>
        <v>#N/A</v>
      </c>
      <c r="D292" s="13" t="e">
        <f t="shared" si="9"/>
        <v>#N/A</v>
      </c>
      <c r="E292" s="13" t="e">
        <f>IFERROR(E291*(1+Simulador!$G$12)+C292,NA())</f>
        <v>#N/A</v>
      </c>
      <c r="F292" s="13" t="e">
        <f>IFERROR(E292*Simulador!$B$11/12,NA())</f>
        <v>#N/A</v>
      </c>
    </row>
    <row r="293" spans="1:6" ht="18" customHeight="1">
      <c r="A293" s="1" t="e">
        <f>IF(ROW()-4&lt;=Simulador!$B$9*12,ROW()-4,NA())</f>
        <v>#N/A</v>
      </c>
      <c r="B293" s="10" t="e">
        <f t="shared" ca="1" si="8"/>
        <v>#N/A</v>
      </c>
      <c r="C293" s="13" t="e">
        <f>IFERROR(Simulador!$B$7*(1+Simulador!$B$12)^INT((A293-1)/12),NA())</f>
        <v>#N/A</v>
      </c>
      <c r="D293" s="13" t="e">
        <f t="shared" si="9"/>
        <v>#N/A</v>
      </c>
      <c r="E293" s="13" t="e">
        <f>IFERROR(E292*(1+Simulador!$G$12)+C293,NA())</f>
        <v>#N/A</v>
      </c>
      <c r="F293" s="13" t="e">
        <f>IFERROR(E293*Simulador!$B$11/12,NA())</f>
        <v>#N/A</v>
      </c>
    </row>
    <row r="294" spans="1:6" ht="18" customHeight="1">
      <c r="A294" s="1" t="e">
        <f>IF(ROW()-4&lt;=Simulador!$B$9*12,ROW()-4,NA())</f>
        <v>#N/A</v>
      </c>
      <c r="B294" s="10" t="e">
        <f t="shared" ca="1" si="8"/>
        <v>#N/A</v>
      </c>
      <c r="C294" s="13" t="e">
        <f>IFERROR(Simulador!$B$7*(1+Simulador!$B$12)^INT((A294-1)/12),NA())</f>
        <v>#N/A</v>
      </c>
      <c r="D294" s="13" t="e">
        <f t="shared" si="9"/>
        <v>#N/A</v>
      </c>
      <c r="E294" s="13" t="e">
        <f>IFERROR(E293*(1+Simulador!$G$12)+C294,NA())</f>
        <v>#N/A</v>
      </c>
      <c r="F294" s="13" t="e">
        <f>IFERROR(E294*Simulador!$B$11/12,NA())</f>
        <v>#N/A</v>
      </c>
    </row>
    <row r="295" spans="1:6" ht="18" customHeight="1">
      <c r="A295" s="1" t="e">
        <f>IF(ROW()-4&lt;=Simulador!$B$9*12,ROW()-4,NA())</f>
        <v>#N/A</v>
      </c>
      <c r="B295" s="10" t="e">
        <f t="shared" ca="1" si="8"/>
        <v>#N/A</v>
      </c>
      <c r="C295" s="13" t="e">
        <f>IFERROR(Simulador!$B$7*(1+Simulador!$B$12)^INT((A295-1)/12),NA())</f>
        <v>#N/A</v>
      </c>
      <c r="D295" s="13" t="e">
        <f t="shared" si="9"/>
        <v>#N/A</v>
      </c>
      <c r="E295" s="13" t="e">
        <f>IFERROR(E294*(1+Simulador!$G$12)+C295,NA())</f>
        <v>#N/A</v>
      </c>
      <c r="F295" s="13" t="e">
        <f>IFERROR(E295*Simulador!$B$11/12,NA())</f>
        <v>#N/A</v>
      </c>
    </row>
    <row r="296" spans="1:6" ht="18" customHeight="1">
      <c r="A296" s="1" t="e">
        <f>IF(ROW()-4&lt;=Simulador!$B$9*12,ROW()-4,NA())</f>
        <v>#N/A</v>
      </c>
      <c r="B296" s="10" t="e">
        <f t="shared" ca="1" si="8"/>
        <v>#N/A</v>
      </c>
      <c r="C296" s="13" t="e">
        <f>IFERROR(Simulador!$B$7*(1+Simulador!$B$12)^INT((A296-1)/12),NA())</f>
        <v>#N/A</v>
      </c>
      <c r="D296" s="13" t="e">
        <f t="shared" si="9"/>
        <v>#N/A</v>
      </c>
      <c r="E296" s="13" t="e">
        <f>IFERROR(E295*(1+Simulador!$G$12)+C296,NA())</f>
        <v>#N/A</v>
      </c>
      <c r="F296" s="13" t="e">
        <f>IFERROR(E296*Simulador!$B$11/12,NA())</f>
        <v>#N/A</v>
      </c>
    </row>
    <row r="297" spans="1:6" ht="18" customHeight="1">
      <c r="A297" s="1" t="e">
        <f>IF(ROW()-4&lt;=Simulador!$B$9*12,ROW()-4,NA())</f>
        <v>#N/A</v>
      </c>
      <c r="B297" s="10" t="e">
        <f t="shared" ca="1" si="8"/>
        <v>#N/A</v>
      </c>
      <c r="C297" s="13" t="e">
        <f>IFERROR(Simulador!$B$7*(1+Simulador!$B$12)^INT((A297-1)/12),NA())</f>
        <v>#N/A</v>
      </c>
      <c r="D297" s="13" t="e">
        <f t="shared" si="9"/>
        <v>#N/A</v>
      </c>
      <c r="E297" s="13" t="e">
        <f>IFERROR(E296*(1+Simulador!$G$12)+C297,NA())</f>
        <v>#N/A</v>
      </c>
      <c r="F297" s="13" t="e">
        <f>IFERROR(E297*Simulador!$B$11/12,NA())</f>
        <v>#N/A</v>
      </c>
    </row>
    <row r="298" spans="1:6" ht="18" customHeight="1">
      <c r="A298" s="1" t="e">
        <f>IF(ROW()-4&lt;=Simulador!$B$9*12,ROW()-4,NA())</f>
        <v>#N/A</v>
      </c>
      <c r="B298" s="10" t="e">
        <f t="shared" ca="1" si="8"/>
        <v>#N/A</v>
      </c>
      <c r="C298" s="13" t="e">
        <f>IFERROR(Simulador!$B$7*(1+Simulador!$B$12)^INT((A298-1)/12),NA())</f>
        <v>#N/A</v>
      </c>
      <c r="D298" s="13" t="e">
        <f t="shared" si="9"/>
        <v>#N/A</v>
      </c>
      <c r="E298" s="13" t="e">
        <f>IFERROR(E297*(1+Simulador!$G$12)+C298,NA())</f>
        <v>#N/A</v>
      </c>
      <c r="F298" s="13" t="e">
        <f>IFERROR(E298*Simulador!$B$11/12,NA())</f>
        <v>#N/A</v>
      </c>
    </row>
    <row r="299" spans="1:6" ht="18" customHeight="1">
      <c r="A299" s="1" t="e">
        <f>IF(ROW()-4&lt;=Simulador!$B$9*12,ROW()-4,NA())</f>
        <v>#N/A</v>
      </c>
      <c r="B299" s="10" t="e">
        <f t="shared" ca="1" si="8"/>
        <v>#N/A</v>
      </c>
      <c r="C299" s="13" t="e">
        <f>IFERROR(Simulador!$B$7*(1+Simulador!$B$12)^INT((A299-1)/12),NA())</f>
        <v>#N/A</v>
      </c>
      <c r="D299" s="13" t="e">
        <f t="shared" si="9"/>
        <v>#N/A</v>
      </c>
      <c r="E299" s="13" t="e">
        <f>IFERROR(E298*(1+Simulador!$G$12)+C299,NA())</f>
        <v>#N/A</v>
      </c>
      <c r="F299" s="13" t="e">
        <f>IFERROR(E299*Simulador!$B$11/12,NA())</f>
        <v>#N/A</v>
      </c>
    </row>
    <row r="300" spans="1:6" ht="18" customHeight="1">
      <c r="A300" s="1" t="e">
        <f>IF(ROW()-4&lt;=Simulador!$B$9*12,ROW()-4,NA())</f>
        <v>#N/A</v>
      </c>
      <c r="B300" s="10" t="e">
        <f t="shared" ca="1" si="8"/>
        <v>#N/A</v>
      </c>
      <c r="C300" s="13" t="e">
        <f>IFERROR(Simulador!$B$7*(1+Simulador!$B$12)^INT((A300-1)/12),NA())</f>
        <v>#N/A</v>
      </c>
      <c r="D300" s="13" t="e">
        <f t="shared" si="9"/>
        <v>#N/A</v>
      </c>
      <c r="E300" s="13" t="e">
        <f>IFERROR(E299*(1+Simulador!$G$12)+C300,NA())</f>
        <v>#N/A</v>
      </c>
      <c r="F300" s="13" t="e">
        <f>IFERROR(E300*Simulador!$B$11/12,NA())</f>
        <v>#N/A</v>
      </c>
    </row>
    <row r="301" spans="1:6" ht="18" customHeight="1">
      <c r="A301" s="1" t="e">
        <f>IF(ROW()-4&lt;=Simulador!$B$9*12,ROW()-4,NA())</f>
        <v>#N/A</v>
      </c>
      <c r="B301" s="10" t="e">
        <f t="shared" ca="1" si="8"/>
        <v>#N/A</v>
      </c>
      <c r="C301" s="13" t="e">
        <f>IFERROR(Simulador!$B$7*(1+Simulador!$B$12)^INT((A301-1)/12),NA())</f>
        <v>#N/A</v>
      </c>
      <c r="D301" s="13" t="e">
        <f t="shared" si="9"/>
        <v>#N/A</v>
      </c>
      <c r="E301" s="13" t="e">
        <f>IFERROR(E300*(1+Simulador!$G$12)+C301,NA())</f>
        <v>#N/A</v>
      </c>
      <c r="F301" s="13" t="e">
        <f>IFERROR(E301*Simulador!$B$11/12,NA())</f>
        <v>#N/A</v>
      </c>
    </row>
    <row r="302" spans="1:6" ht="18" customHeight="1">
      <c r="A302" s="1" t="e">
        <f>IF(ROW()-4&lt;=Simulador!$B$9*12,ROW()-4,NA())</f>
        <v>#N/A</v>
      </c>
      <c r="B302" s="10" t="e">
        <f t="shared" ca="1" si="8"/>
        <v>#N/A</v>
      </c>
      <c r="C302" s="13" t="e">
        <f>IFERROR(Simulador!$B$7*(1+Simulador!$B$12)^INT((A302-1)/12),NA())</f>
        <v>#N/A</v>
      </c>
      <c r="D302" s="13" t="e">
        <f t="shared" si="9"/>
        <v>#N/A</v>
      </c>
      <c r="E302" s="13" t="e">
        <f>IFERROR(E301*(1+Simulador!$G$12)+C302,NA())</f>
        <v>#N/A</v>
      </c>
      <c r="F302" s="13" t="e">
        <f>IFERROR(E302*Simulador!$B$11/12,NA())</f>
        <v>#N/A</v>
      </c>
    </row>
    <row r="303" spans="1:6" ht="18" customHeight="1">
      <c r="A303" s="1" t="e">
        <f>IF(ROW()-4&lt;=Simulador!$B$9*12,ROW()-4,NA())</f>
        <v>#N/A</v>
      </c>
      <c r="B303" s="10" t="e">
        <f t="shared" ca="1" si="8"/>
        <v>#N/A</v>
      </c>
      <c r="C303" s="13" t="e">
        <f>IFERROR(Simulador!$B$7*(1+Simulador!$B$12)^INT((A303-1)/12),NA())</f>
        <v>#N/A</v>
      </c>
      <c r="D303" s="13" t="e">
        <f t="shared" si="9"/>
        <v>#N/A</v>
      </c>
      <c r="E303" s="13" t="e">
        <f>IFERROR(E302*(1+Simulador!$G$12)+C303,NA())</f>
        <v>#N/A</v>
      </c>
      <c r="F303" s="13" t="e">
        <f>IFERROR(E303*Simulador!$B$11/12,NA())</f>
        <v>#N/A</v>
      </c>
    </row>
    <row r="304" spans="1:6" ht="18" customHeight="1">
      <c r="A304" s="1" t="e">
        <f>IF(ROW()-4&lt;=Simulador!$B$9*12,ROW()-4,NA())</f>
        <v>#N/A</v>
      </c>
      <c r="B304" s="10" t="e">
        <f t="shared" ca="1" si="8"/>
        <v>#N/A</v>
      </c>
      <c r="C304" s="13" t="e">
        <f>IFERROR(Simulador!$B$7*(1+Simulador!$B$12)^INT((A304-1)/12),NA())</f>
        <v>#N/A</v>
      </c>
      <c r="D304" s="13" t="e">
        <f t="shared" si="9"/>
        <v>#N/A</v>
      </c>
      <c r="E304" s="13" t="e">
        <f>IFERROR(E303*(1+Simulador!$G$12)+C304,NA())</f>
        <v>#N/A</v>
      </c>
      <c r="F304" s="13" t="e">
        <f>IFERROR(E304*Simulador!$B$11/12,NA())</f>
        <v>#N/A</v>
      </c>
    </row>
    <row r="305" spans="1:6" ht="18" customHeight="1">
      <c r="A305" s="1" t="e">
        <f>IF(ROW()-4&lt;=Simulador!$B$9*12,ROW()-4,NA())</f>
        <v>#N/A</v>
      </c>
      <c r="B305" s="10" t="e">
        <f t="shared" ca="1" si="8"/>
        <v>#N/A</v>
      </c>
      <c r="C305" s="13" t="e">
        <f>IFERROR(Simulador!$B$7*(1+Simulador!$B$12)^INT((A305-1)/12),NA())</f>
        <v>#N/A</v>
      </c>
      <c r="D305" s="13" t="e">
        <f t="shared" si="9"/>
        <v>#N/A</v>
      </c>
      <c r="E305" s="13" t="e">
        <f>IFERROR(E304*(1+Simulador!$G$12)+C305,NA())</f>
        <v>#N/A</v>
      </c>
      <c r="F305" s="13" t="e">
        <f>IFERROR(E305*Simulador!$B$11/12,NA())</f>
        <v>#N/A</v>
      </c>
    </row>
    <row r="306" spans="1:6" ht="18" customHeight="1">
      <c r="A306" s="1" t="e">
        <f>IF(ROW()-4&lt;=Simulador!$B$9*12,ROW()-4,NA())</f>
        <v>#N/A</v>
      </c>
      <c r="B306" s="10" t="e">
        <f t="shared" ca="1" si="8"/>
        <v>#N/A</v>
      </c>
      <c r="C306" s="13" t="e">
        <f>IFERROR(Simulador!$B$7*(1+Simulador!$B$12)^INT((A306-1)/12),NA())</f>
        <v>#N/A</v>
      </c>
      <c r="D306" s="13" t="e">
        <f t="shared" si="9"/>
        <v>#N/A</v>
      </c>
      <c r="E306" s="13" t="e">
        <f>IFERROR(E305*(1+Simulador!$G$12)+C306,NA())</f>
        <v>#N/A</v>
      </c>
      <c r="F306" s="13" t="e">
        <f>IFERROR(E306*Simulador!$B$11/12,NA())</f>
        <v>#N/A</v>
      </c>
    </row>
    <row r="307" spans="1:6" ht="18" customHeight="1">
      <c r="A307" s="1" t="e">
        <f>IF(ROW()-4&lt;=Simulador!$B$9*12,ROW()-4,NA())</f>
        <v>#N/A</v>
      </c>
      <c r="B307" s="10" t="e">
        <f t="shared" ca="1" si="8"/>
        <v>#N/A</v>
      </c>
      <c r="C307" s="13" t="e">
        <f>IFERROR(Simulador!$B$7*(1+Simulador!$B$12)^INT((A307-1)/12),NA())</f>
        <v>#N/A</v>
      </c>
      <c r="D307" s="13" t="e">
        <f t="shared" si="9"/>
        <v>#N/A</v>
      </c>
      <c r="E307" s="13" t="e">
        <f>IFERROR(E306*(1+Simulador!$G$12)+C307,NA())</f>
        <v>#N/A</v>
      </c>
      <c r="F307" s="13" t="e">
        <f>IFERROR(E307*Simulador!$B$11/12,NA())</f>
        <v>#N/A</v>
      </c>
    </row>
    <row r="308" spans="1:6" ht="18" customHeight="1">
      <c r="A308" s="1" t="e">
        <f>IF(ROW()-4&lt;=Simulador!$B$9*12,ROW()-4,NA())</f>
        <v>#N/A</v>
      </c>
      <c r="B308" s="10" t="e">
        <f t="shared" ca="1" si="8"/>
        <v>#N/A</v>
      </c>
      <c r="C308" s="13" t="e">
        <f>IFERROR(Simulador!$B$7*(1+Simulador!$B$12)^INT((A308-1)/12),NA())</f>
        <v>#N/A</v>
      </c>
      <c r="D308" s="13" t="e">
        <f t="shared" si="9"/>
        <v>#N/A</v>
      </c>
      <c r="E308" s="13" t="e">
        <f>IFERROR(E307*(1+Simulador!$G$12)+C308,NA())</f>
        <v>#N/A</v>
      </c>
      <c r="F308" s="13" t="e">
        <f>IFERROR(E308*Simulador!$B$11/12,NA())</f>
        <v>#N/A</v>
      </c>
    </row>
    <row r="309" spans="1:6" ht="18" customHeight="1">
      <c r="A309" s="1" t="e">
        <f>IF(ROW()-4&lt;=Simulador!$B$9*12,ROW()-4,NA())</f>
        <v>#N/A</v>
      </c>
      <c r="B309" s="10" t="e">
        <f t="shared" ca="1" si="8"/>
        <v>#N/A</v>
      </c>
      <c r="C309" s="13" t="e">
        <f>IFERROR(Simulador!$B$7*(1+Simulador!$B$12)^INT((A309-1)/12),NA())</f>
        <v>#N/A</v>
      </c>
      <c r="D309" s="13" t="e">
        <f t="shared" si="9"/>
        <v>#N/A</v>
      </c>
      <c r="E309" s="13" t="e">
        <f>IFERROR(E308*(1+Simulador!$G$12)+C309,NA())</f>
        <v>#N/A</v>
      </c>
      <c r="F309" s="13" t="e">
        <f>IFERROR(E309*Simulador!$B$11/12,NA())</f>
        <v>#N/A</v>
      </c>
    </row>
    <row r="310" spans="1:6" ht="18" customHeight="1">
      <c r="A310" s="1" t="e">
        <f>IF(ROW()-4&lt;=Simulador!$B$9*12,ROW()-4,NA())</f>
        <v>#N/A</v>
      </c>
      <c r="B310" s="10" t="e">
        <f t="shared" ca="1" si="8"/>
        <v>#N/A</v>
      </c>
      <c r="C310" s="13" t="e">
        <f>IFERROR(Simulador!$B$7*(1+Simulador!$B$12)^INT((A310-1)/12),NA())</f>
        <v>#N/A</v>
      </c>
      <c r="D310" s="13" t="e">
        <f t="shared" si="9"/>
        <v>#N/A</v>
      </c>
      <c r="E310" s="13" t="e">
        <f>IFERROR(E309*(1+Simulador!$G$12)+C310,NA())</f>
        <v>#N/A</v>
      </c>
      <c r="F310" s="13" t="e">
        <f>IFERROR(E310*Simulador!$B$11/12,NA())</f>
        <v>#N/A</v>
      </c>
    </row>
    <row r="311" spans="1:6" ht="18" customHeight="1">
      <c r="A311" s="1" t="e">
        <f>IF(ROW()-4&lt;=Simulador!$B$9*12,ROW()-4,NA())</f>
        <v>#N/A</v>
      </c>
      <c r="B311" s="10" t="e">
        <f t="shared" ca="1" si="8"/>
        <v>#N/A</v>
      </c>
      <c r="C311" s="13" t="e">
        <f>IFERROR(Simulador!$B$7*(1+Simulador!$B$12)^INT((A311-1)/12),NA())</f>
        <v>#N/A</v>
      </c>
      <c r="D311" s="13" t="e">
        <f t="shared" si="9"/>
        <v>#N/A</v>
      </c>
      <c r="E311" s="13" t="e">
        <f>IFERROR(E310*(1+Simulador!$G$12)+C311,NA())</f>
        <v>#N/A</v>
      </c>
      <c r="F311" s="13" t="e">
        <f>IFERROR(E311*Simulador!$B$11/12,NA())</f>
        <v>#N/A</v>
      </c>
    </row>
    <row r="312" spans="1:6" ht="18" customHeight="1">
      <c r="A312" s="1" t="e">
        <f>IF(ROW()-4&lt;=Simulador!$B$9*12,ROW()-4,NA())</f>
        <v>#N/A</v>
      </c>
      <c r="B312" s="10" t="e">
        <f t="shared" ca="1" si="8"/>
        <v>#N/A</v>
      </c>
      <c r="C312" s="13" t="e">
        <f>IFERROR(Simulador!$B$7*(1+Simulador!$B$12)^INT((A312-1)/12),NA())</f>
        <v>#N/A</v>
      </c>
      <c r="D312" s="13" t="e">
        <f t="shared" si="9"/>
        <v>#N/A</v>
      </c>
      <c r="E312" s="13" t="e">
        <f>IFERROR(E311*(1+Simulador!$G$12)+C312,NA())</f>
        <v>#N/A</v>
      </c>
      <c r="F312" s="13" t="e">
        <f>IFERROR(E312*Simulador!$B$11/12,NA())</f>
        <v>#N/A</v>
      </c>
    </row>
    <row r="313" spans="1:6" ht="18" customHeight="1">
      <c r="A313" s="1" t="e">
        <f>IF(ROW()-4&lt;=Simulador!$B$9*12,ROW()-4,NA())</f>
        <v>#N/A</v>
      </c>
      <c r="B313" s="10" t="e">
        <f t="shared" ca="1" si="8"/>
        <v>#N/A</v>
      </c>
      <c r="C313" s="13" t="e">
        <f>IFERROR(Simulador!$B$7*(1+Simulador!$B$12)^INT((A313-1)/12),NA())</f>
        <v>#N/A</v>
      </c>
      <c r="D313" s="13" t="e">
        <f t="shared" si="9"/>
        <v>#N/A</v>
      </c>
      <c r="E313" s="13" t="e">
        <f>IFERROR(E312*(1+Simulador!$G$12)+C313,NA())</f>
        <v>#N/A</v>
      </c>
      <c r="F313" s="13" t="e">
        <f>IFERROR(E313*Simulador!$B$11/12,NA())</f>
        <v>#N/A</v>
      </c>
    </row>
    <row r="314" spans="1:6" ht="18" customHeight="1">
      <c r="A314" s="1" t="e">
        <f>IF(ROW()-4&lt;=Simulador!$B$9*12,ROW()-4,NA())</f>
        <v>#N/A</v>
      </c>
      <c r="B314" s="10" t="e">
        <f t="shared" ca="1" si="8"/>
        <v>#N/A</v>
      </c>
      <c r="C314" s="13" t="e">
        <f>IFERROR(Simulador!$B$7*(1+Simulador!$B$12)^INT((A314-1)/12),NA())</f>
        <v>#N/A</v>
      </c>
      <c r="D314" s="13" t="e">
        <f t="shared" si="9"/>
        <v>#N/A</v>
      </c>
      <c r="E314" s="13" t="e">
        <f>IFERROR(E313*(1+Simulador!$G$12)+C314,NA())</f>
        <v>#N/A</v>
      </c>
      <c r="F314" s="13" t="e">
        <f>IFERROR(E314*Simulador!$B$11/12,NA())</f>
        <v>#N/A</v>
      </c>
    </row>
    <row r="315" spans="1:6" ht="18" customHeight="1">
      <c r="A315" s="1" t="e">
        <f>IF(ROW()-4&lt;=Simulador!$B$9*12,ROW()-4,NA())</f>
        <v>#N/A</v>
      </c>
      <c r="B315" s="10" t="e">
        <f t="shared" ca="1" si="8"/>
        <v>#N/A</v>
      </c>
      <c r="C315" s="13" t="e">
        <f>IFERROR(Simulador!$B$7*(1+Simulador!$B$12)^INT((A315-1)/12),NA())</f>
        <v>#N/A</v>
      </c>
      <c r="D315" s="13" t="e">
        <f t="shared" si="9"/>
        <v>#N/A</v>
      </c>
      <c r="E315" s="13" t="e">
        <f>IFERROR(E314*(1+Simulador!$G$12)+C315,NA())</f>
        <v>#N/A</v>
      </c>
      <c r="F315" s="13" t="e">
        <f>IFERROR(E315*Simulador!$B$11/12,NA())</f>
        <v>#N/A</v>
      </c>
    </row>
    <row r="316" spans="1:6" ht="18" customHeight="1">
      <c r="A316" s="1" t="e">
        <f>IF(ROW()-4&lt;=Simulador!$B$9*12,ROW()-4,NA())</f>
        <v>#N/A</v>
      </c>
      <c r="B316" s="10" t="e">
        <f t="shared" ca="1" si="8"/>
        <v>#N/A</v>
      </c>
      <c r="C316" s="13" t="e">
        <f>IFERROR(Simulador!$B$7*(1+Simulador!$B$12)^INT((A316-1)/12),NA())</f>
        <v>#N/A</v>
      </c>
      <c r="D316" s="13" t="e">
        <f t="shared" si="9"/>
        <v>#N/A</v>
      </c>
      <c r="E316" s="13" t="e">
        <f>IFERROR(E315*(1+Simulador!$G$12)+C316,NA())</f>
        <v>#N/A</v>
      </c>
      <c r="F316" s="13" t="e">
        <f>IFERROR(E316*Simulador!$B$11/12,NA())</f>
        <v>#N/A</v>
      </c>
    </row>
    <row r="317" spans="1:6" ht="18" customHeight="1">
      <c r="A317" s="1" t="e">
        <f>IF(ROW()-4&lt;=Simulador!$B$9*12,ROW()-4,NA())</f>
        <v>#N/A</v>
      </c>
      <c r="B317" s="10" t="e">
        <f t="shared" ca="1" si="8"/>
        <v>#N/A</v>
      </c>
      <c r="C317" s="13" t="e">
        <f>IFERROR(Simulador!$B$7*(1+Simulador!$B$12)^INT((A317-1)/12),NA())</f>
        <v>#N/A</v>
      </c>
      <c r="D317" s="13" t="e">
        <f t="shared" si="9"/>
        <v>#N/A</v>
      </c>
      <c r="E317" s="13" t="e">
        <f>IFERROR(E316*(1+Simulador!$G$12)+C317,NA())</f>
        <v>#N/A</v>
      </c>
      <c r="F317" s="13" t="e">
        <f>IFERROR(E317*Simulador!$B$11/12,NA())</f>
        <v>#N/A</v>
      </c>
    </row>
    <row r="318" spans="1:6" ht="18" customHeight="1">
      <c r="A318" s="1" t="e">
        <f>IF(ROW()-4&lt;=Simulador!$B$9*12,ROW()-4,NA())</f>
        <v>#N/A</v>
      </c>
      <c r="B318" s="10" t="e">
        <f t="shared" ca="1" si="8"/>
        <v>#N/A</v>
      </c>
      <c r="C318" s="13" t="e">
        <f>IFERROR(Simulador!$B$7*(1+Simulador!$B$12)^INT((A318-1)/12),NA())</f>
        <v>#N/A</v>
      </c>
      <c r="D318" s="13" t="e">
        <f t="shared" si="9"/>
        <v>#N/A</v>
      </c>
      <c r="E318" s="13" t="e">
        <f>IFERROR(E317*(1+Simulador!$G$12)+C318,NA())</f>
        <v>#N/A</v>
      </c>
      <c r="F318" s="13" t="e">
        <f>IFERROR(E318*Simulador!$B$11/12,NA())</f>
        <v>#N/A</v>
      </c>
    </row>
    <row r="319" spans="1:6" ht="18" customHeight="1">
      <c r="A319" s="1" t="e">
        <f>IF(ROW()-4&lt;=Simulador!$B$9*12,ROW()-4,NA())</f>
        <v>#N/A</v>
      </c>
      <c r="B319" s="10" t="e">
        <f t="shared" ca="1" si="8"/>
        <v>#N/A</v>
      </c>
      <c r="C319" s="13" t="e">
        <f>IFERROR(Simulador!$B$7*(1+Simulador!$B$12)^INT((A319-1)/12),NA())</f>
        <v>#N/A</v>
      </c>
      <c r="D319" s="13" t="e">
        <f t="shared" si="9"/>
        <v>#N/A</v>
      </c>
      <c r="E319" s="13" t="e">
        <f>IFERROR(E318*(1+Simulador!$G$12)+C319,NA())</f>
        <v>#N/A</v>
      </c>
      <c r="F319" s="13" t="e">
        <f>IFERROR(E319*Simulador!$B$11/12,NA())</f>
        <v>#N/A</v>
      </c>
    </row>
    <row r="320" spans="1:6" ht="18" customHeight="1">
      <c r="A320" s="1" t="e">
        <f>IF(ROW()-4&lt;=Simulador!$B$9*12,ROW()-4,NA())</f>
        <v>#N/A</v>
      </c>
      <c r="B320" s="10" t="e">
        <f t="shared" ca="1" si="8"/>
        <v>#N/A</v>
      </c>
      <c r="C320" s="13" t="e">
        <f>IFERROR(Simulador!$B$7*(1+Simulador!$B$12)^INT((A320-1)/12),NA())</f>
        <v>#N/A</v>
      </c>
      <c r="D320" s="13" t="e">
        <f t="shared" si="9"/>
        <v>#N/A</v>
      </c>
      <c r="E320" s="13" t="e">
        <f>IFERROR(E319*(1+Simulador!$G$12)+C320,NA())</f>
        <v>#N/A</v>
      </c>
      <c r="F320" s="13" t="e">
        <f>IFERROR(E320*Simulador!$B$11/12,NA())</f>
        <v>#N/A</v>
      </c>
    </row>
    <row r="321" spans="1:6" ht="18" customHeight="1">
      <c r="A321" s="1" t="e">
        <f>IF(ROW()-4&lt;=Simulador!$B$9*12,ROW()-4,NA())</f>
        <v>#N/A</v>
      </c>
      <c r="B321" s="10" t="e">
        <f t="shared" ca="1" si="8"/>
        <v>#N/A</v>
      </c>
      <c r="C321" s="13" t="e">
        <f>IFERROR(Simulador!$B$7*(1+Simulador!$B$12)^INT((A321-1)/12),NA())</f>
        <v>#N/A</v>
      </c>
      <c r="D321" s="13" t="e">
        <f t="shared" si="9"/>
        <v>#N/A</v>
      </c>
      <c r="E321" s="13" t="e">
        <f>IFERROR(E320*(1+Simulador!$G$12)+C321,NA())</f>
        <v>#N/A</v>
      </c>
      <c r="F321" s="13" t="e">
        <f>IFERROR(E321*Simulador!$B$11/12,NA())</f>
        <v>#N/A</v>
      </c>
    </row>
    <row r="322" spans="1:6" ht="18" customHeight="1">
      <c r="A322" s="1" t="e">
        <f>IF(ROW()-4&lt;=Simulador!$B$9*12,ROW()-4,NA())</f>
        <v>#N/A</v>
      </c>
      <c r="B322" s="10" t="e">
        <f t="shared" ca="1" si="8"/>
        <v>#N/A</v>
      </c>
      <c r="C322" s="13" t="e">
        <f>IFERROR(Simulador!$B$7*(1+Simulador!$B$12)^INT((A322-1)/12),NA())</f>
        <v>#N/A</v>
      </c>
      <c r="D322" s="13" t="e">
        <f t="shared" si="9"/>
        <v>#N/A</v>
      </c>
      <c r="E322" s="13" t="e">
        <f>IFERROR(E321*(1+Simulador!$G$12)+C322,NA())</f>
        <v>#N/A</v>
      </c>
      <c r="F322" s="13" t="e">
        <f>IFERROR(E322*Simulador!$B$11/12,NA())</f>
        <v>#N/A</v>
      </c>
    </row>
    <row r="323" spans="1:6" ht="18" customHeight="1">
      <c r="A323" s="1" t="e">
        <f>IF(ROW()-4&lt;=Simulador!$B$9*12,ROW()-4,NA())</f>
        <v>#N/A</v>
      </c>
      <c r="B323" s="10" t="e">
        <f t="shared" ca="1" si="8"/>
        <v>#N/A</v>
      </c>
      <c r="C323" s="13" t="e">
        <f>IFERROR(Simulador!$B$7*(1+Simulador!$B$12)^INT((A323-1)/12),NA())</f>
        <v>#N/A</v>
      </c>
      <c r="D323" s="13" t="e">
        <f t="shared" si="9"/>
        <v>#N/A</v>
      </c>
      <c r="E323" s="13" t="e">
        <f>IFERROR(E322*(1+Simulador!$G$12)+C323,NA())</f>
        <v>#N/A</v>
      </c>
      <c r="F323" s="13" t="e">
        <f>IFERROR(E323*Simulador!$B$11/12,NA())</f>
        <v>#N/A</v>
      </c>
    </row>
    <row r="324" spans="1:6" ht="18" customHeight="1">
      <c r="A324" s="1" t="e">
        <f>IF(ROW()-4&lt;=Simulador!$B$9*12,ROW()-4,NA())</f>
        <v>#N/A</v>
      </c>
      <c r="B324" s="10" t="e">
        <f t="shared" ca="1" si="8"/>
        <v>#N/A</v>
      </c>
      <c r="C324" s="13" t="e">
        <f>IFERROR(Simulador!$B$7*(1+Simulador!$B$12)^INT((A324-1)/12),NA())</f>
        <v>#N/A</v>
      </c>
      <c r="D324" s="13" t="e">
        <f t="shared" si="9"/>
        <v>#N/A</v>
      </c>
      <c r="E324" s="13" t="e">
        <f>IFERROR(E323*(1+Simulador!$G$12)+C324,NA())</f>
        <v>#N/A</v>
      </c>
      <c r="F324" s="13" t="e">
        <f>IFERROR(E324*Simulador!$B$11/12,NA())</f>
        <v>#N/A</v>
      </c>
    </row>
    <row r="325" spans="1:6" ht="18" customHeight="1">
      <c r="A325" s="1" t="e">
        <f>IF(ROW()-4&lt;=Simulador!$B$9*12,ROW()-4,NA())</f>
        <v>#N/A</v>
      </c>
      <c r="B325" s="10" t="e">
        <f t="shared" ca="1" si="8"/>
        <v>#N/A</v>
      </c>
      <c r="C325" s="13" t="e">
        <f>IFERROR(Simulador!$B$7*(1+Simulador!$B$12)^INT((A325-1)/12),NA())</f>
        <v>#N/A</v>
      </c>
      <c r="D325" s="13" t="e">
        <f t="shared" si="9"/>
        <v>#N/A</v>
      </c>
      <c r="E325" s="13" t="e">
        <f>IFERROR(E324*(1+Simulador!$G$12)+C325,NA())</f>
        <v>#N/A</v>
      </c>
      <c r="F325" s="13" t="e">
        <f>IFERROR(E325*Simulador!$B$11/12,NA())</f>
        <v>#N/A</v>
      </c>
    </row>
    <row r="326" spans="1:6" ht="18" customHeight="1">
      <c r="A326" s="1" t="e">
        <f>IF(ROW()-4&lt;=Simulador!$B$9*12,ROW()-4,NA())</f>
        <v>#N/A</v>
      </c>
      <c r="B326" s="10" t="e">
        <f t="shared" ref="B326:B389" ca="1" si="10">IFERROR(EDATE($B$4,A326),NA())</f>
        <v>#N/A</v>
      </c>
      <c r="C326" s="13" t="e">
        <f>IFERROR(Simulador!$B$7*(1+Simulador!$B$12)^INT((A326-1)/12),NA())</f>
        <v>#N/A</v>
      </c>
      <c r="D326" s="13" t="e">
        <f t="shared" ref="D326:D389" si="11">IFERROR(D325+C326,NA())</f>
        <v>#N/A</v>
      </c>
      <c r="E326" s="13" t="e">
        <f>IFERROR(E325*(1+Simulador!$G$12)+C326,NA())</f>
        <v>#N/A</v>
      </c>
      <c r="F326" s="13" t="e">
        <f>IFERROR(E326*Simulador!$B$11/12,NA())</f>
        <v>#N/A</v>
      </c>
    </row>
    <row r="327" spans="1:6" ht="18" customHeight="1">
      <c r="A327" s="1" t="e">
        <f>IF(ROW()-4&lt;=Simulador!$B$9*12,ROW()-4,NA())</f>
        <v>#N/A</v>
      </c>
      <c r="B327" s="10" t="e">
        <f t="shared" ca="1" si="10"/>
        <v>#N/A</v>
      </c>
      <c r="C327" s="13" t="e">
        <f>IFERROR(Simulador!$B$7*(1+Simulador!$B$12)^INT((A327-1)/12),NA())</f>
        <v>#N/A</v>
      </c>
      <c r="D327" s="13" t="e">
        <f t="shared" si="11"/>
        <v>#N/A</v>
      </c>
      <c r="E327" s="13" t="e">
        <f>IFERROR(E326*(1+Simulador!$G$12)+C327,NA())</f>
        <v>#N/A</v>
      </c>
      <c r="F327" s="13" t="e">
        <f>IFERROR(E327*Simulador!$B$11/12,NA())</f>
        <v>#N/A</v>
      </c>
    </row>
    <row r="328" spans="1:6" ht="18" customHeight="1">
      <c r="A328" s="1" t="e">
        <f>IF(ROW()-4&lt;=Simulador!$B$9*12,ROW()-4,NA())</f>
        <v>#N/A</v>
      </c>
      <c r="B328" s="10" t="e">
        <f t="shared" ca="1" si="10"/>
        <v>#N/A</v>
      </c>
      <c r="C328" s="13" t="e">
        <f>IFERROR(Simulador!$B$7*(1+Simulador!$B$12)^INT((A328-1)/12),NA())</f>
        <v>#N/A</v>
      </c>
      <c r="D328" s="13" t="e">
        <f t="shared" si="11"/>
        <v>#N/A</v>
      </c>
      <c r="E328" s="13" t="e">
        <f>IFERROR(E327*(1+Simulador!$G$12)+C328,NA())</f>
        <v>#N/A</v>
      </c>
      <c r="F328" s="13" t="e">
        <f>IFERROR(E328*Simulador!$B$11/12,NA())</f>
        <v>#N/A</v>
      </c>
    </row>
    <row r="329" spans="1:6" ht="18" customHeight="1">
      <c r="A329" s="1" t="e">
        <f>IF(ROW()-4&lt;=Simulador!$B$9*12,ROW()-4,NA())</f>
        <v>#N/A</v>
      </c>
      <c r="B329" s="10" t="e">
        <f t="shared" ca="1" si="10"/>
        <v>#N/A</v>
      </c>
      <c r="C329" s="13" t="e">
        <f>IFERROR(Simulador!$B$7*(1+Simulador!$B$12)^INT((A329-1)/12),NA())</f>
        <v>#N/A</v>
      </c>
      <c r="D329" s="13" t="e">
        <f t="shared" si="11"/>
        <v>#N/A</v>
      </c>
      <c r="E329" s="13" t="e">
        <f>IFERROR(E328*(1+Simulador!$G$12)+C329,NA())</f>
        <v>#N/A</v>
      </c>
      <c r="F329" s="13" t="e">
        <f>IFERROR(E329*Simulador!$B$11/12,NA())</f>
        <v>#N/A</v>
      </c>
    </row>
    <row r="330" spans="1:6" ht="18" customHeight="1">
      <c r="A330" s="1" t="e">
        <f>IF(ROW()-4&lt;=Simulador!$B$9*12,ROW()-4,NA())</f>
        <v>#N/A</v>
      </c>
      <c r="B330" s="10" t="e">
        <f t="shared" ca="1" si="10"/>
        <v>#N/A</v>
      </c>
      <c r="C330" s="13" t="e">
        <f>IFERROR(Simulador!$B$7*(1+Simulador!$B$12)^INT((A330-1)/12),NA())</f>
        <v>#N/A</v>
      </c>
      <c r="D330" s="13" t="e">
        <f t="shared" si="11"/>
        <v>#N/A</v>
      </c>
      <c r="E330" s="13" t="e">
        <f>IFERROR(E329*(1+Simulador!$G$12)+C330,NA())</f>
        <v>#N/A</v>
      </c>
      <c r="F330" s="13" t="e">
        <f>IFERROR(E330*Simulador!$B$11/12,NA())</f>
        <v>#N/A</v>
      </c>
    </row>
    <row r="331" spans="1:6" ht="18" customHeight="1">
      <c r="A331" s="1" t="e">
        <f>IF(ROW()-4&lt;=Simulador!$B$9*12,ROW()-4,NA())</f>
        <v>#N/A</v>
      </c>
      <c r="B331" s="10" t="e">
        <f t="shared" ca="1" si="10"/>
        <v>#N/A</v>
      </c>
      <c r="C331" s="13" t="e">
        <f>IFERROR(Simulador!$B$7*(1+Simulador!$B$12)^INT((A331-1)/12),NA())</f>
        <v>#N/A</v>
      </c>
      <c r="D331" s="13" t="e">
        <f t="shared" si="11"/>
        <v>#N/A</v>
      </c>
      <c r="E331" s="13" t="e">
        <f>IFERROR(E330*(1+Simulador!$G$12)+C331,NA())</f>
        <v>#N/A</v>
      </c>
      <c r="F331" s="13" t="e">
        <f>IFERROR(E331*Simulador!$B$11/12,NA())</f>
        <v>#N/A</v>
      </c>
    </row>
    <row r="332" spans="1:6" ht="18" customHeight="1">
      <c r="A332" s="1" t="e">
        <f>IF(ROW()-4&lt;=Simulador!$B$9*12,ROW()-4,NA())</f>
        <v>#N/A</v>
      </c>
      <c r="B332" s="10" t="e">
        <f t="shared" ca="1" si="10"/>
        <v>#N/A</v>
      </c>
      <c r="C332" s="13" t="e">
        <f>IFERROR(Simulador!$B$7*(1+Simulador!$B$12)^INT((A332-1)/12),NA())</f>
        <v>#N/A</v>
      </c>
      <c r="D332" s="13" t="e">
        <f t="shared" si="11"/>
        <v>#N/A</v>
      </c>
      <c r="E332" s="13" t="e">
        <f>IFERROR(E331*(1+Simulador!$G$12)+C332,NA())</f>
        <v>#N/A</v>
      </c>
      <c r="F332" s="13" t="e">
        <f>IFERROR(E332*Simulador!$B$11/12,NA())</f>
        <v>#N/A</v>
      </c>
    </row>
    <row r="333" spans="1:6" ht="18" customHeight="1">
      <c r="A333" s="1" t="e">
        <f>IF(ROW()-4&lt;=Simulador!$B$9*12,ROW()-4,NA())</f>
        <v>#N/A</v>
      </c>
      <c r="B333" s="10" t="e">
        <f t="shared" ca="1" si="10"/>
        <v>#N/A</v>
      </c>
      <c r="C333" s="13" t="e">
        <f>IFERROR(Simulador!$B$7*(1+Simulador!$B$12)^INT((A333-1)/12),NA())</f>
        <v>#N/A</v>
      </c>
      <c r="D333" s="13" t="e">
        <f t="shared" si="11"/>
        <v>#N/A</v>
      </c>
      <c r="E333" s="13" t="e">
        <f>IFERROR(E332*(1+Simulador!$G$12)+C333,NA())</f>
        <v>#N/A</v>
      </c>
      <c r="F333" s="13" t="e">
        <f>IFERROR(E333*Simulador!$B$11/12,NA())</f>
        <v>#N/A</v>
      </c>
    </row>
    <row r="334" spans="1:6" ht="18" customHeight="1">
      <c r="A334" s="1" t="e">
        <f>IF(ROW()-4&lt;=Simulador!$B$9*12,ROW()-4,NA())</f>
        <v>#N/A</v>
      </c>
      <c r="B334" s="10" t="e">
        <f t="shared" ca="1" si="10"/>
        <v>#N/A</v>
      </c>
      <c r="C334" s="13" t="e">
        <f>IFERROR(Simulador!$B$7*(1+Simulador!$B$12)^INT((A334-1)/12),NA())</f>
        <v>#N/A</v>
      </c>
      <c r="D334" s="13" t="e">
        <f t="shared" si="11"/>
        <v>#N/A</v>
      </c>
      <c r="E334" s="13" t="e">
        <f>IFERROR(E333*(1+Simulador!$G$12)+C334,NA())</f>
        <v>#N/A</v>
      </c>
      <c r="F334" s="13" t="e">
        <f>IFERROR(E334*Simulador!$B$11/12,NA())</f>
        <v>#N/A</v>
      </c>
    </row>
    <row r="335" spans="1:6" ht="18" customHeight="1">
      <c r="A335" s="1" t="e">
        <f>IF(ROW()-4&lt;=Simulador!$B$9*12,ROW()-4,NA())</f>
        <v>#N/A</v>
      </c>
      <c r="B335" s="10" t="e">
        <f t="shared" ca="1" si="10"/>
        <v>#N/A</v>
      </c>
      <c r="C335" s="13" t="e">
        <f>IFERROR(Simulador!$B$7*(1+Simulador!$B$12)^INT((A335-1)/12),NA())</f>
        <v>#N/A</v>
      </c>
      <c r="D335" s="13" t="e">
        <f t="shared" si="11"/>
        <v>#N/A</v>
      </c>
      <c r="E335" s="13" t="e">
        <f>IFERROR(E334*(1+Simulador!$G$12)+C335,NA())</f>
        <v>#N/A</v>
      </c>
      <c r="F335" s="13" t="e">
        <f>IFERROR(E335*Simulador!$B$11/12,NA())</f>
        <v>#N/A</v>
      </c>
    </row>
    <row r="336" spans="1:6" ht="18" customHeight="1">
      <c r="A336" s="1" t="e">
        <f>IF(ROW()-4&lt;=Simulador!$B$9*12,ROW()-4,NA())</f>
        <v>#N/A</v>
      </c>
      <c r="B336" s="10" t="e">
        <f t="shared" ca="1" si="10"/>
        <v>#N/A</v>
      </c>
      <c r="C336" s="13" t="e">
        <f>IFERROR(Simulador!$B$7*(1+Simulador!$B$12)^INT((A336-1)/12),NA())</f>
        <v>#N/A</v>
      </c>
      <c r="D336" s="13" t="e">
        <f t="shared" si="11"/>
        <v>#N/A</v>
      </c>
      <c r="E336" s="13" t="e">
        <f>IFERROR(E335*(1+Simulador!$G$12)+C336,NA())</f>
        <v>#N/A</v>
      </c>
      <c r="F336" s="13" t="e">
        <f>IFERROR(E336*Simulador!$B$11/12,NA())</f>
        <v>#N/A</v>
      </c>
    </row>
    <row r="337" spans="1:6" ht="18" customHeight="1">
      <c r="A337" s="1" t="e">
        <f>IF(ROW()-4&lt;=Simulador!$B$9*12,ROW()-4,NA())</f>
        <v>#N/A</v>
      </c>
      <c r="B337" s="10" t="e">
        <f t="shared" ca="1" si="10"/>
        <v>#N/A</v>
      </c>
      <c r="C337" s="13" t="e">
        <f>IFERROR(Simulador!$B$7*(1+Simulador!$B$12)^INT((A337-1)/12),NA())</f>
        <v>#N/A</v>
      </c>
      <c r="D337" s="13" t="e">
        <f t="shared" si="11"/>
        <v>#N/A</v>
      </c>
      <c r="E337" s="13" t="e">
        <f>IFERROR(E336*(1+Simulador!$G$12)+C337,NA())</f>
        <v>#N/A</v>
      </c>
      <c r="F337" s="13" t="e">
        <f>IFERROR(E337*Simulador!$B$11/12,NA())</f>
        <v>#N/A</v>
      </c>
    </row>
    <row r="338" spans="1:6" ht="18" customHeight="1">
      <c r="A338" s="1" t="e">
        <f>IF(ROW()-4&lt;=Simulador!$B$9*12,ROW()-4,NA())</f>
        <v>#N/A</v>
      </c>
      <c r="B338" s="10" t="e">
        <f t="shared" ca="1" si="10"/>
        <v>#N/A</v>
      </c>
      <c r="C338" s="13" t="e">
        <f>IFERROR(Simulador!$B$7*(1+Simulador!$B$12)^INT((A338-1)/12),NA())</f>
        <v>#N/A</v>
      </c>
      <c r="D338" s="13" t="e">
        <f t="shared" si="11"/>
        <v>#N/A</v>
      </c>
      <c r="E338" s="13" t="e">
        <f>IFERROR(E337*(1+Simulador!$G$12)+C338,NA())</f>
        <v>#N/A</v>
      </c>
      <c r="F338" s="13" t="e">
        <f>IFERROR(E338*Simulador!$B$11/12,NA())</f>
        <v>#N/A</v>
      </c>
    </row>
    <row r="339" spans="1:6" ht="18" customHeight="1">
      <c r="A339" s="1" t="e">
        <f>IF(ROW()-4&lt;=Simulador!$B$9*12,ROW()-4,NA())</f>
        <v>#N/A</v>
      </c>
      <c r="B339" s="10" t="e">
        <f t="shared" ca="1" si="10"/>
        <v>#N/A</v>
      </c>
      <c r="C339" s="13" t="e">
        <f>IFERROR(Simulador!$B$7*(1+Simulador!$B$12)^INT((A339-1)/12),NA())</f>
        <v>#N/A</v>
      </c>
      <c r="D339" s="13" t="e">
        <f t="shared" si="11"/>
        <v>#N/A</v>
      </c>
      <c r="E339" s="13" t="e">
        <f>IFERROR(E338*(1+Simulador!$G$12)+C339,NA())</f>
        <v>#N/A</v>
      </c>
      <c r="F339" s="13" t="e">
        <f>IFERROR(E339*Simulador!$B$11/12,NA())</f>
        <v>#N/A</v>
      </c>
    </row>
    <row r="340" spans="1:6" ht="18" customHeight="1">
      <c r="A340" s="1" t="e">
        <f>IF(ROW()-4&lt;=Simulador!$B$9*12,ROW()-4,NA())</f>
        <v>#N/A</v>
      </c>
      <c r="B340" s="10" t="e">
        <f t="shared" ca="1" si="10"/>
        <v>#N/A</v>
      </c>
      <c r="C340" s="13" t="e">
        <f>IFERROR(Simulador!$B$7*(1+Simulador!$B$12)^INT((A340-1)/12),NA())</f>
        <v>#N/A</v>
      </c>
      <c r="D340" s="13" t="e">
        <f t="shared" si="11"/>
        <v>#N/A</v>
      </c>
      <c r="E340" s="13" t="e">
        <f>IFERROR(E339*(1+Simulador!$G$12)+C340,NA())</f>
        <v>#N/A</v>
      </c>
      <c r="F340" s="13" t="e">
        <f>IFERROR(E340*Simulador!$B$11/12,NA())</f>
        <v>#N/A</v>
      </c>
    </row>
    <row r="341" spans="1:6" ht="18" customHeight="1">
      <c r="A341" s="1" t="e">
        <f>IF(ROW()-4&lt;=Simulador!$B$9*12,ROW()-4,NA())</f>
        <v>#N/A</v>
      </c>
      <c r="B341" s="10" t="e">
        <f t="shared" ca="1" si="10"/>
        <v>#N/A</v>
      </c>
      <c r="C341" s="13" t="e">
        <f>IFERROR(Simulador!$B$7*(1+Simulador!$B$12)^INT((A341-1)/12),NA())</f>
        <v>#N/A</v>
      </c>
      <c r="D341" s="13" t="e">
        <f t="shared" si="11"/>
        <v>#N/A</v>
      </c>
      <c r="E341" s="13" t="e">
        <f>IFERROR(E340*(1+Simulador!$G$12)+C341,NA())</f>
        <v>#N/A</v>
      </c>
      <c r="F341" s="13" t="e">
        <f>IFERROR(E341*Simulador!$B$11/12,NA())</f>
        <v>#N/A</v>
      </c>
    </row>
    <row r="342" spans="1:6" ht="18" customHeight="1">
      <c r="A342" s="1" t="e">
        <f>IF(ROW()-4&lt;=Simulador!$B$9*12,ROW()-4,NA())</f>
        <v>#N/A</v>
      </c>
      <c r="B342" s="10" t="e">
        <f t="shared" ca="1" si="10"/>
        <v>#N/A</v>
      </c>
      <c r="C342" s="13" t="e">
        <f>IFERROR(Simulador!$B$7*(1+Simulador!$B$12)^INT((A342-1)/12),NA())</f>
        <v>#N/A</v>
      </c>
      <c r="D342" s="13" t="e">
        <f t="shared" si="11"/>
        <v>#N/A</v>
      </c>
      <c r="E342" s="13" t="e">
        <f>IFERROR(E341*(1+Simulador!$G$12)+C342,NA())</f>
        <v>#N/A</v>
      </c>
      <c r="F342" s="13" t="e">
        <f>IFERROR(E342*Simulador!$B$11/12,NA())</f>
        <v>#N/A</v>
      </c>
    </row>
    <row r="343" spans="1:6" ht="18" customHeight="1">
      <c r="A343" s="1" t="e">
        <f>IF(ROW()-4&lt;=Simulador!$B$9*12,ROW()-4,NA())</f>
        <v>#N/A</v>
      </c>
      <c r="B343" s="10" t="e">
        <f t="shared" ca="1" si="10"/>
        <v>#N/A</v>
      </c>
      <c r="C343" s="13" t="e">
        <f>IFERROR(Simulador!$B$7*(1+Simulador!$B$12)^INT((A343-1)/12),NA())</f>
        <v>#N/A</v>
      </c>
      <c r="D343" s="13" t="e">
        <f t="shared" si="11"/>
        <v>#N/A</v>
      </c>
      <c r="E343" s="13" t="e">
        <f>IFERROR(E342*(1+Simulador!$G$12)+C343,NA())</f>
        <v>#N/A</v>
      </c>
      <c r="F343" s="13" t="e">
        <f>IFERROR(E343*Simulador!$B$11/12,NA())</f>
        <v>#N/A</v>
      </c>
    </row>
    <row r="344" spans="1:6" ht="18" customHeight="1">
      <c r="A344" s="1" t="e">
        <f>IF(ROW()-4&lt;=Simulador!$B$9*12,ROW()-4,NA())</f>
        <v>#N/A</v>
      </c>
      <c r="B344" s="10" t="e">
        <f t="shared" ca="1" si="10"/>
        <v>#N/A</v>
      </c>
      <c r="C344" s="13" t="e">
        <f>IFERROR(Simulador!$B$7*(1+Simulador!$B$12)^INT((A344-1)/12),NA())</f>
        <v>#N/A</v>
      </c>
      <c r="D344" s="13" t="e">
        <f t="shared" si="11"/>
        <v>#N/A</v>
      </c>
      <c r="E344" s="13" t="e">
        <f>IFERROR(E343*(1+Simulador!$G$12)+C344,NA())</f>
        <v>#N/A</v>
      </c>
      <c r="F344" s="13" t="e">
        <f>IFERROR(E344*Simulador!$B$11/12,NA())</f>
        <v>#N/A</v>
      </c>
    </row>
    <row r="345" spans="1:6" ht="18" customHeight="1">
      <c r="A345" s="1" t="e">
        <f>IF(ROW()-4&lt;=Simulador!$B$9*12,ROW()-4,NA())</f>
        <v>#N/A</v>
      </c>
      <c r="B345" s="10" t="e">
        <f t="shared" ca="1" si="10"/>
        <v>#N/A</v>
      </c>
      <c r="C345" s="13" t="e">
        <f>IFERROR(Simulador!$B$7*(1+Simulador!$B$12)^INT((A345-1)/12),NA())</f>
        <v>#N/A</v>
      </c>
      <c r="D345" s="13" t="e">
        <f t="shared" si="11"/>
        <v>#N/A</v>
      </c>
      <c r="E345" s="13" t="e">
        <f>IFERROR(E344*(1+Simulador!$G$12)+C345,NA())</f>
        <v>#N/A</v>
      </c>
      <c r="F345" s="13" t="e">
        <f>IFERROR(E345*Simulador!$B$11/12,NA())</f>
        <v>#N/A</v>
      </c>
    </row>
    <row r="346" spans="1:6" ht="18" customHeight="1">
      <c r="A346" s="1" t="e">
        <f>IF(ROW()-4&lt;=Simulador!$B$9*12,ROW()-4,NA())</f>
        <v>#N/A</v>
      </c>
      <c r="B346" s="10" t="e">
        <f t="shared" ca="1" si="10"/>
        <v>#N/A</v>
      </c>
      <c r="C346" s="13" t="e">
        <f>IFERROR(Simulador!$B$7*(1+Simulador!$B$12)^INT((A346-1)/12),NA())</f>
        <v>#N/A</v>
      </c>
      <c r="D346" s="13" t="e">
        <f t="shared" si="11"/>
        <v>#N/A</v>
      </c>
      <c r="E346" s="13" t="e">
        <f>IFERROR(E345*(1+Simulador!$G$12)+C346,NA())</f>
        <v>#N/A</v>
      </c>
      <c r="F346" s="13" t="e">
        <f>IFERROR(E346*Simulador!$B$11/12,NA())</f>
        <v>#N/A</v>
      </c>
    </row>
    <row r="347" spans="1:6" ht="18" customHeight="1">
      <c r="A347" s="1" t="e">
        <f>IF(ROW()-4&lt;=Simulador!$B$9*12,ROW()-4,NA())</f>
        <v>#N/A</v>
      </c>
      <c r="B347" s="10" t="e">
        <f t="shared" ca="1" si="10"/>
        <v>#N/A</v>
      </c>
      <c r="C347" s="13" t="e">
        <f>IFERROR(Simulador!$B$7*(1+Simulador!$B$12)^INT((A347-1)/12),NA())</f>
        <v>#N/A</v>
      </c>
      <c r="D347" s="13" t="e">
        <f t="shared" si="11"/>
        <v>#N/A</v>
      </c>
      <c r="E347" s="13" t="e">
        <f>IFERROR(E346*(1+Simulador!$G$12)+C347,NA())</f>
        <v>#N/A</v>
      </c>
      <c r="F347" s="13" t="e">
        <f>IFERROR(E347*Simulador!$B$11/12,NA())</f>
        <v>#N/A</v>
      </c>
    </row>
    <row r="348" spans="1:6" ht="18" customHeight="1">
      <c r="A348" s="1" t="e">
        <f>IF(ROW()-4&lt;=Simulador!$B$9*12,ROW()-4,NA())</f>
        <v>#N/A</v>
      </c>
      <c r="B348" s="10" t="e">
        <f t="shared" ca="1" si="10"/>
        <v>#N/A</v>
      </c>
      <c r="C348" s="13" t="e">
        <f>IFERROR(Simulador!$B$7*(1+Simulador!$B$12)^INT((A348-1)/12),NA())</f>
        <v>#N/A</v>
      </c>
      <c r="D348" s="13" t="e">
        <f t="shared" si="11"/>
        <v>#N/A</v>
      </c>
      <c r="E348" s="13" t="e">
        <f>IFERROR(E347*(1+Simulador!$G$12)+C348,NA())</f>
        <v>#N/A</v>
      </c>
      <c r="F348" s="13" t="e">
        <f>IFERROR(E348*Simulador!$B$11/12,NA())</f>
        <v>#N/A</v>
      </c>
    </row>
    <row r="349" spans="1:6" ht="18" customHeight="1">
      <c r="A349" s="1" t="e">
        <f>IF(ROW()-4&lt;=Simulador!$B$9*12,ROW()-4,NA())</f>
        <v>#N/A</v>
      </c>
      <c r="B349" s="10" t="e">
        <f t="shared" ca="1" si="10"/>
        <v>#N/A</v>
      </c>
      <c r="C349" s="13" t="e">
        <f>IFERROR(Simulador!$B$7*(1+Simulador!$B$12)^INT((A349-1)/12),NA())</f>
        <v>#N/A</v>
      </c>
      <c r="D349" s="13" t="e">
        <f t="shared" si="11"/>
        <v>#N/A</v>
      </c>
      <c r="E349" s="13" t="e">
        <f>IFERROR(E348*(1+Simulador!$G$12)+C349,NA())</f>
        <v>#N/A</v>
      </c>
      <c r="F349" s="13" t="e">
        <f>IFERROR(E349*Simulador!$B$11/12,NA())</f>
        <v>#N/A</v>
      </c>
    </row>
    <row r="350" spans="1:6" ht="18" customHeight="1">
      <c r="A350" s="1" t="e">
        <f>IF(ROW()-4&lt;=Simulador!$B$9*12,ROW()-4,NA())</f>
        <v>#N/A</v>
      </c>
      <c r="B350" s="10" t="e">
        <f t="shared" ca="1" si="10"/>
        <v>#N/A</v>
      </c>
      <c r="C350" s="13" t="e">
        <f>IFERROR(Simulador!$B$7*(1+Simulador!$B$12)^INT((A350-1)/12),NA())</f>
        <v>#N/A</v>
      </c>
      <c r="D350" s="13" t="e">
        <f t="shared" si="11"/>
        <v>#N/A</v>
      </c>
      <c r="E350" s="13" t="e">
        <f>IFERROR(E349*(1+Simulador!$G$12)+C350,NA())</f>
        <v>#N/A</v>
      </c>
      <c r="F350" s="13" t="e">
        <f>IFERROR(E350*Simulador!$B$11/12,NA())</f>
        <v>#N/A</v>
      </c>
    </row>
    <row r="351" spans="1:6" ht="18" customHeight="1">
      <c r="A351" s="1" t="e">
        <f>IF(ROW()-4&lt;=Simulador!$B$9*12,ROW()-4,NA())</f>
        <v>#N/A</v>
      </c>
      <c r="B351" s="10" t="e">
        <f t="shared" ca="1" si="10"/>
        <v>#N/A</v>
      </c>
      <c r="C351" s="13" t="e">
        <f>IFERROR(Simulador!$B$7*(1+Simulador!$B$12)^INT((A351-1)/12),NA())</f>
        <v>#N/A</v>
      </c>
      <c r="D351" s="13" t="e">
        <f t="shared" si="11"/>
        <v>#N/A</v>
      </c>
      <c r="E351" s="13" t="e">
        <f>IFERROR(E350*(1+Simulador!$G$12)+C351,NA())</f>
        <v>#N/A</v>
      </c>
      <c r="F351" s="13" t="e">
        <f>IFERROR(E351*Simulador!$B$11/12,NA())</f>
        <v>#N/A</v>
      </c>
    </row>
    <row r="352" spans="1:6" ht="18" customHeight="1">
      <c r="A352" s="1" t="e">
        <f>IF(ROW()-4&lt;=Simulador!$B$9*12,ROW()-4,NA())</f>
        <v>#N/A</v>
      </c>
      <c r="B352" s="10" t="e">
        <f t="shared" ca="1" si="10"/>
        <v>#N/A</v>
      </c>
      <c r="C352" s="13" t="e">
        <f>IFERROR(Simulador!$B$7*(1+Simulador!$B$12)^INT((A352-1)/12),NA())</f>
        <v>#N/A</v>
      </c>
      <c r="D352" s="13" t="e">
        <f t="shared" si="11"/>
        <v>#N/A</v>
      </c>
      <c r="E352" s="13" t="e">
        <f>IFERROR(E351*(1+Simulador!$G$12)+C352,NA())</f>
        <v>#N/A</v>
      </c>
      <c r="F352" s="13" t="e">
        <f>IFERROR(E352*Simulador!$B$11/12,NA())</f>
        <v>#N/A</v>
      </c>
    </row>
    <row r="353" spans="1:6" ht="18" customHeight="1">
      <c r="A353" s="1" t="e">
        <f>IF(ROW()-4&lt;=Simulador!$B$9*12,ROW()-4,NA())</f>
        <v>#N/A</v>
      </c>
      <c r="B353" s="10" t="e">
        <f t="shared" ca="1" si="10"/>
        <v>#N/A</v>
      </c>
      <c r="C353" s="13" t="e">
        <f>IFERROR(Simulador!$B$7*(1+Simulador!$B$12)^INT((A353-1)/12),NA())</f>
        <v>#N/A</v>
      </c>
      <c r="D353" s="13" t="e">
        <f t="shared" si="11"/>
        <v>#N/A</v>
      </c>
      <c r="E353" s="13" t="e">
        <f>IFERROR(E352*(1+Simulador!$G$12)+C353,NA())</f>
        <v>#N/A</v>
      </c>
      <c r="F353" s="13" t="e">
        <f>IFERROR(E353*Simulador!$B$11/12,NA())</f>
        <v>#N/A</v>
      </c>
    </row>
    <row r="354" spans="1:6" ht="18" customHeight="1">
      <c r="A354" s="1" t="e">
        <f>IF(ROW()-4&lt;=Simulador!$B$9*12,ROW()-4,NA())</f>
        <v>#N/A</v>
      </c>
      <c r="B354" s="10" t="e">
        <f t="shared" ca="1" si="10"/>
        <v>#N/A</v>
      </c>
      <c r="C354" s="13" t="e">
        <f>IFERROR(Simulador!$B$7*(1+Simulador!$B$12)^INT((A354-1)/12),NA())</f>
        <v>#N/A</v>
      </c>
      <c r="D354" s="13" t="e">
        <f t="shared" si="11"/>
        <v>#N/A</v>
      </c>
      <c r="E354" s="13" t="e">
        <f>IFERROR(E353*(1+Simulador!$G$12)+C354,NA())</f>
        <v>#N/A</v>
      </c>
      <c r="F354" s="13" t="e">
        <f>IFERROR(E354*Simulador!$B$11/12,NA())</f>
        <v>#N/A</v>
      </c>
    </row>
    <row r="355" spans="1:6" ht="18" customHeight="1">
      <c r="A355" s="1" t="e">
        <f>IF(ROW()-4&lt;=Simulador!$B$9*12,ROW()-4,NA())</f>
        <v>#N/A</v>
      </c>
      <c r="B355" s="10" t="e">
        <f t="shared" ca="1" si="10"/>
        <v>#N/A</v>
      </c>
      <c r="C355" s="13" t="e">
        <f>IFERROR(Simulador!$B$7*(1+Simulador!$B$12)^INT((A355-1)/12),NA())</f>
        <v>#N/A</v>
      </c>
      <c r="D355" s="13" t="e">
        <f t="shared" si="11"/>
        <v>#N/A</v>
      </c>
      <c r="E355" s="13" t="e">
        <f>IFERROR(E354*(1+Simulador!$G$12)+C355,NA())</f>
        <v>#N/A</v>
      </c>
      <c r="F355" s="13" t="e">
        <f>IFERROR(E355*Simulador!$B$11/12,NA())</f>
        <v>#N/A</v>
      </c>
    </row>
    <row r="356" spans="1:6" ht="18" customHeight="1">
      <c r="A356" s="1" t="e">
        <f>IF(ROW()-4&lt;=Simulador!$B$9*12,ROW()-4,NA())</f>
        <v>#N/A</v>
      </c>
      <c r="B356" s="10" t="e">
        <f t="shared" ca="1" si="10"/>
        <v>#N/A</v>
      </c>
      <c r="C356" s="13" t="e">
        <f>IFERROR(Simulador!$B$7*(1+Simulador!$B$12)^INT((A356-1)/12),NA())</f>
        <v>#N/A</v>
      </c>
      <c r="D356" s="13" t="e">
        <f t="shared" si="11"/>
        <v>#N/A</v>
      </c>
      <c r="E356" s="13" t="e">
        <f>IFERROR(E355*(1+Simulador!$G$12)+C356,NA())</f>
        <v>#N/A</v>
      </c>
      <c r="F356" s="13" t="e">
        <f>IFERROR(E356*Simulador!$B$11/12,NA())</f>
        <v>#N/A</v>
      </c>
    </row>
    <row r="357" spans="1:6" ht="18" customHeight="1">
      <c r="A357" s="1" t="e">
        <f>IF(ROW()-4&lt;=Simulador!$B$9*12,ROW()-4,NA())</f>
        <v>#N/A</v>
      </c>
      <c r="B357" s="10" t="e">
        <f t="shared" ca="1" si="10"/>
        <v>#N/A</v>
      </c>
      <c r="C357" s="13" t="e">
        <f>IFERROR(Simulador!$B$7*(1+Simulador!$B$12)^INT((A357-1)/12),NA())</f>
        <v>#N/A</v>
      </c>
      <c r="D357" s="13" t="e">
        <f t="shared" si="11"/>
        <v>#N/A</v>
      </c>
      <c r="E357" s="13" t="e">
        <f>IFERROR(E356*(1+Simulador!$G$12)+C357,NA())</f>
        <v>#N/A</v>
      </c>
      <c r="F357" s="13" t="e">
        <f>IFERROR(E357*Simulador!$B$11/12,NA())</f>
        <v>#N/A</v>
      </c>
    </row>
    <row r="358" spans="1:6" ht="18" customHeight="1">
      <c r="A358" s="1" t="e">
        <f>IF(ROW()-4&lt;=Simulador!$B$9*12,ROW()-4,NA())</f>
        <v>#N/A</v>
      </c>
      <c r="B358" s="10" t="e">
        <f t="shared" ca="1" si="10"/>
        <v>#N/A</v>
      </c>
      <c r="C358" s="13" t="e">
        <f>IFERROR(Simulador!$B$7*(1+Simulador!$B$12)^INT((A358-1)/12),NA())</f>
        <v>#N/A</v>
      </c>
      <c r="D358" s="13" t="e">
        <f t="shared" si="11"/>
        <v>#N/A</v>
      </c>
      <c r="E358" s="13" t="e">
        <f>IFERROR(E357*(1+Simulador!$G$12)+C358,NA())</f>
        <v>#N/A</v>
      </c>
      <c r="F358" s="13" t="e">
        <f>IFERROR(E358*Simulador!$B$11/12,NA())</f>
        <v>#N/A</v>
      </c>
    </row>
    <row r="359" spans="1:6" ht="18" customHeight="1">
      <c r="A359" s="1" t="e">
        <f>IF(ROW()-4&lt;=Simulador!$B$9*12,ROW()-4,NA())</f>
        <v>#N/A</v>
      </c>
      <c r="B359" s="10" t="e">
        <f t="shared" ca="1" si="10"/>
        <v>#N/A</v>
      </c>
      <c r="C359" s="13" t="e">
        <f>IFERROR(Simulador!$B$7*(1+Simulador!$B$12)^INT((A359-1)/12),NA())</f>
        <v>#N/A</v>
      </c>
      <c r="D359" s="13" t="e">
        <f t="shared" si="11"/>
        <v>#N/A</v>
      </c>
      <c r="E359" s="13" t="e">
        <f>IFERROR(E358*(1+Simulador!$G$12)+C359,NA())</f>
        <v>#N/A</v>
      </c>
      <c r="F359" s="13" t="e">
        <f>IFERROR(E359*Simulador!$B$11/12,NA())</f>
        <v>#N/A</v>
      </c>
    </row>
    <row r="360" spans="1:6" ht="18" customHeight="1">
      <c r="A360" s="1" t="e">
        <f>IF(ROW()-4&lt;=Simulador!$B$9*12,ROW()-4,NA())</f>
        <v>#N/A</v>
      </c>
      <c r="B360" s="10" t="e">
        <f t="shared" ca="1" si="10"/>
        <v>#N/A</v>
      </c>
      <c r="C360" s="13" t="e">
        <f>IFERROR(Simulador!$B$7*(1+Simulador!$B$12)^INT((A360-1)/12),NA())</f>
        <v>#N/A</v>
      </c>
      <c r="D360" s="13" t="e">
        <f t="shared" si="11"/>
        <v>#N/A</v>
      </c>
      <c r="E360" s="13" t="e">
        <f>IFERROR(E359*(1+Simulador!$G$12)+C360,NA())</f>
        <v>#N/A</v>
      </c>
      <c r="F360" s="13" t="e">
        <f>IFERROR(E360*Simulador!$B$11/12,NA())</f>
        <v>#N/A</v>
      </c>
    </row>
    <row r="361" spans="1:6" ht="18" customHeight="1">
      <c r="A361" s="1" t="e">
        <f>IF(ROW()-4&lt;=Simulador!$B$9*12,ROW()-4,NA())</f>
        <v>#N/A</v>
      </c>
      <c r="B361" s="10" t="e">
        <f t="shared" ca="1" si="10"/>
        <v>#N/A</v>
      </c>
      <c r="C361" s="13" t="e">
        <f>IFERROR(Simulador!$B$7*(1+Simulador!$B$12)^INT((A361-1)/12),NA())</f>
        <v>#N/A</v>
      </c>
      <c r="D361" s="13" t="e">
        <f t="shared" si="11"/>
        <v>#N/A</v>
      </c>
      <c r="E361" s="13" t="e">
        <f>IFERROR(E360*(1+Simulador!$G$12)+C361,NA())</f>
        <v>#N/A</v>
      </c>
      <c r="F361" s="13" t="e">
        <f>IFERROR(E361*Simulador!$B$11/12,NA())</f>
        <v>#N/A</v>
      </c>
    </row>
    <row r="362" spans="1:6" ht="18" customHeight="1">
      <c r="A362" s="1" t="e">
        <f>IF(ROW()-4&lt;=Simulador!$B$9*12,ROW()-4,NA())</f>
        <v>#N/A</v>
      </c>
      <c r="B362" s="10" t="e">
        <f t="shared" ca="1" si="10"/>
        <v>#N/A</v>
      </c>
      <c r="C362" s="13" t="e">
        <f>IFERROR(Simulador!$B$7*(1+Simulador!$B$12)^INT((A362-1)/12),NA())</f>
        <v>#N/A</v>
      </c>
      <c r="D362" s="13" t="e">
        <f t="shared" si="11"/>
        <v>#N/A</v>
      </c>
      <c r="E362" s="13" t="e">
        <f>IFERROR(E361*(1+Simulador!$G$12)+C362,NA())</f>
        <v>#N/A</v>
      </c>
      <c r="F362" s="13" t="e">
        <f>IFERROR(E362*Simulador!$B$11/12,NA())</f>
        <v>#N/A</v>
      </c>
    </row>
    <row r="363" spans="1:6" ht="18" customHeight="1">
      <c r="A363" s="1" t="e">
        <f>IF(ROW()-4&lt;=Simulador!$B$9*12,ROW()-4,NA())</f>
        <v>#N/A</v>
      </c>
      <c r="B363" s="10" t="e">
        <f t="shared" ca="1" si="10"/>
        <v>#N/A</v>
      </c>
      <c r="C363" s="13" t="e">
        <f>IFERROR(Simulador!$B$7*(1+Simulador!$B$12)^INT((A363-1)/12),NA())</f>
        <v>#N/A</v>
      </c>
      <c r="D363" s="13" t="e">
        <f t="shared" si="11"/>
        <v>#N/A</v>
      </c>
      <c r="E363" s="13" t="e">
        <f>IFERROR(E362*(1+Simulador!$G$12)+C363,NA())</f>
        <v>#N/A</v>
      </c>
      <c r="F363" s="13" t="e">
        <f>IFERROR(E363*Simulador!$B$11/12,NA())</f>
        <v>#N/A</v>
      </c>
    </row>
    <row r="364" spans="1:6" ht="18" customHeight="1">
      <c r="A364" s="1" t="e">
        <f>IF(ROW()-4&lt;=Simulador!$B$9*12,ROW()-4,NA())</f>
        <v>#N/A</v>
      </c>
      <c r="B364" s="10" t="e">
        <f t="shared" ca="1" si="10"/>
        <v>#N/A</v>
      </c>
      <c r="C364" s="13" t="e">
        <f>IFERROR(Simulador!$B$7*(1+Simulador!$B$12)^INT((A364-1)/12),NA())</f>
        <v>#N/A</v>
      </c>
      <c r="D364" s="13" t="e">
        <f t="shared" si="11"/>
        <v>#N/A</v>
      </c>
      <c r="E364" s="13" t="e">
        <f>IFERROR(E363*(1+Simulador!$G$12)+C364,NA())</f>
        <v>#N/A</v>
      </c>
      <c r="F364" s="13" t="e">
        <f>IFERROR(E364*Simulador!$B$11/12,NA())</f>
        <v>#N/A</v>
      </c>
    </row>
    <row r="365" spans="1:6" ht="18" customHeight="1">
      <c r="A365" s="1" t="e">
        <f>IF(ROW()-4&lt;=Simulador!$B$9*12,ROW()-4,NA())</f>
        <v>#N/A</v>
      </c>
      <c r="B365" s="10" t="e">
        <f t="shared" ca="1" si="10"/>
        <v>#N/A</v>
      </c>
      <c r="C365" s="13" t="e">
        <f>IFERROR(Simulador!$B$7*(1+Simulador!$B$12)^INT((A365-1)/12),NA())</f>
        <v>#N/A</v>
      </c>
      <c r="D365" s="13" t="e">
        <f t="shared" si="11"/>
        <v>#N/A</v>
      </c>
      <c r="E365" s="13" t="e">
        <f>IFERROR(E364*(1+Simulador!$G$12)+C365,NA())</f>
        <v>#N/A</v>
      </c>
      <c r="F365" s="13" t="e">
        <f>IFERROR(E365*Simulador!$B$11/12,NA())</f>
        <v>#N/A</v>
      </c>
    </row>
    <row r="366" spans="1:6" ht="18" customHeight="1">
      <c r="A366" s="1" t="e">
        <f>IF(ROW()-4&lt;=Simulador!$B$9*12,ROW()-4,NA())</f>
        <v>#N/A</v>
      </c>
      <c r="B366" s="10" t="e">
        <f t="shared" ca="1" si="10"/>
        <v>#N/A</v>
      </c>
      <c r="C366" s="13" t="e">
        <f>IFERROR(Simulador!$B$7*(1+Simulador!$B$12)^INT((A366-1)/12),NA())</f>
        <v>#N/A</v>
      </c>
      <c r="D366" s="13" t="e">
        <f t="shared" si="11"/>
        <v>#N/A</v>
      </c>
      <c r="E366" s="13" t="e">
        <f>IFERROR(E365*(1+Simulador!$G$12)+C366,NA())</f>
        <v>#N/A</v>
      </c>
      <c r="F366" s="13" t="e">
        <f>IFERROR(E366*Simulador!$B$11/12,NA())</f>
        <v>#N/A</v>
      </c>
    </row>
    <row r="367" spans="1:6" ht="18" customHeight="1">
      <c r="A367" s="1" t="e">
        <f>IF(ROW()-4&lt;=Simulador!$B$9*12,ROW()-4,NA())</f>
        <v>#N/A</v>
      </c>
      <c r="B367" s="10" t="e">
        <f t="shared" ca="1" si="10"/>
        <v>#N/A</v>
      </c>
      <c r="C367" s="13" t="e">
        <f>IFERROR(Simulador!$B$7*(1+Simulador!$B$12)^INT((A367-1)/12),NA())</f>
        <v>#N/A</v>
      </c>
      <c r="D367" s="13" t="e">
        <f t="shared" si="11"/>
        <v>#N/A</v>
      </c>
      <c r="E367" s="13" t="e">
        <f>IFERROR(E366*(1+Simulador!$G$12)+C367,NA())</f>
        <v>#N/A</v>
      </c>
      <c r="F367" s="13" t="e">
        <f>IFERROR(E367*Simulador!$B$11/12,NA())</f>
        <v>#N/A</v>
      </c>
    </row>
    <row r="368" spans="1:6" ht="18" customHeight="1">
      <c r="A368" s="1" t="e">
        <f>IF(ROW()-4&lt;=Simulador!$B$9*12,ROW()-4,NA())</f>
        <v>#N/A</v>
      </c>
      <c r="B368" s="10" t="e">
        <f t="shared" ca="1" si="10"/>
        <v>#N/A</v>
      </c>
      <c r="C368" s="13" t="e">
        <f>IFERROR(Simulador!$B$7*(1+Simulador!$B$12)^INT((A368-1)/12),NA())</f>
        <v>#N/A</v>
      </c>
      <c r="D368" s="13" t="e">
        <f t="shared" si="11"/>
        <v>#N/A</v>
      </c>
      <c r="E368" s="13" t="e">
        <f>IFERROR(E367*(1+Simulador!$G$12)+C368,NA())</f>
        <v>#N/A</v>
      </c>
      <c r="F368" s="13" t="e">
        <f>IFERROR(E368*Simulador!$B$11/12,NA())</f>
        <v>#N/A</v>
      </c>
    </row>
    <row r="369" spans="1:6" ht="18" customHeight="1">
      <c r="A369" s="1" t="e">
        <f>IF(ROW()-4&lt;=Simulador!$B$9*12,ROW()-4,NA())</f>
        <v>#N/A</v>
      </c>
      <c r="B369" s="10" t="e">
        <f t="shared" ca="1" si="10"/>
        <v>#N/A</v>
      </c>
      <c r="C369" s="13" t="e">
        <f>IFERROR(Simulador!$B$7*(1+Simulador!$B$12)^INT((A369-1)/12),NA())</f>
        <v>#N/A</v>
      </c>
      <c r="D369" s="13" t="e">
        <f t="shared" si="11"/>
        <v>#N/A</v>
      </c>
      <c r="E369" s="13" t="e">
        <f>IFERROR(E368*(1+Simulador!$G$12)+C369,NA())</f>
        <v>#N/A</v>
      </c>
      <c r="F369" s="13" t="e">
        <f>IFERROR(E369*Simulador!$B$11/12,NA())</f>
        <v>#N/A</v>
      </c>
    </row>
    <row r="370" spans="1:6" ht="18" customHeight="1">
      <c r="A370" s="1" t="e">
        <f>IF(ROW()-4&lt;=Simulador!$B$9*12,ROW()-4,NA())</f>
        <v>#N/A</v>
      </c>
      <c r="B370" s="10" t="e">
        <f t="shared" ca="1" si="10"/>
        <v>#N/A</v>
      </c>
      <c r="C370" s="13" t="e">
        <f>IFERROR(Simulador!$B$7*(1+Simulador!$B$12)^INT((A370-1)/12),NA())</f>
        <v>#N/A</v>
      </c>
      <c r="D370" s="13" t="e">
        <f t="shared" si="11"/>
        <v>#N/A</v>
      </c>
      <c r="E370" s="13" t="e">
        <f>IFERROR(E369*(1+Simulador!$G$12)+C370,NA())</f>
        <v>#N/A</v>
      </c>
      <c r="F370" s="13" t="e">
        <f>IFERROR(E370*Simulador!$B$11/12,NA())</f>
        <v>#N/A</v>
      </c>
    </row>
    <row r="371" spans="1:6" ht="18" customHeight="1">
      <c r="A371" s="1" t="e">
        <f>IF(ROW()-4&lt;=Simulador!$B$9*12,ROW()-4,NA())</f>
        <v>#N/A</v>
      </c>
      <c r="B371" s="10" t="e">
        <f t="shared" ca="1" si="10"/>
        <v>#N/A</v>
      </c>
      <c r="C371" s="13" t="e">
        <f>IFERROR(Simulador!$B$7*(1+Simulador!$B$12)^INT((A371-1)/12),NA())</f>
        <v>#N/A</v>
      </c>
      <c r="D371" s="13" t="e">
        <f t="shared" si="11"/>
        <v>#N/A</v>
      </c>
      <c r="E371" s="13" t="e">
        <f>IFERROR(E370*(1+Simulador!$G$12)+C371,NA())</f>
        <v>#N/A</v>
      </c>
      <c r="F371" s="13" t="e">
        <f>IFERROR(E371*Simulador!$B$11/12,NA())</f>
        <v>#N/A</v>
      </c>
    </row>
    <row r="372" spans="1:6" ht="18" customHeight="1">
      <c r="A372" s="1" t="e">
        <f>IF(ROW()-4&lt;=Simulador!$B$9*12,ROW()-4,NA())</f>
        <v>#N/A</v>
      </c>
      <c r="B372" s="10" t="e">
        <f t="shared" ca="1" si="10"/>
        <v>#N/A</v>
      </c>
      <c r="C372" s="13" t="e">
        <f>IFERROR(Simulador!$B$7*(1+Simulador!$B$12)^INT((A372-1)/12),NA())</f>
        <v>#N/A</v>
      </c>
      <c r="D372" s="13" t="e">
        <f t="shared" si="11"/>
        <v>#N/A</v>
      </c>
      <c r="E372" s="13" t="e">
        <f>IFERROR(E371*(1+Simulador!$G$12)+C372,NA())</f>
        <v>#N/A</v>
      </c>
      <c r="F372" s="13" t="e">
        <f>IFERROR(E372*Simulador!$B$11/12,NA())</f>
        <v>#N/A</v>
      </c>
    </row>
    <row r="373" spans="1:6" ht="18" customHeight="1">
      <c r="A373" s="1" t="e">
        <f>IF(ROW()-4&lt;=Simulador!$B$9*12,ROW()-4,NA())</f>
        <v>#N/A</v>
      </c>
      <c r="B373" s="10" t="e">
        <f t="shared" ca="1" si="10"/>
        <v>#N/A</v>
      </c>
      <c r="C373" s="13" t="e">
        <f>IFERROR(Simulador!$B$7*(1+Simulador!$B$12)^INT((A373-1)/12),NA())</f>
        <v>#N/A</v>
      </c>
      <c r="D373" s="13" t="e">
        <f t="shared" si="11"/>
        <v>#N/A</v>
      </c>
      <c r="E373" s="13" t="e">
        <f>IFERROR(E372*(1+Simulador!$G$12)+C373,NA())</f>
        <v>#N/A</v>
      </c>
      <c r="F373" s="13" t="e">
        <f>IFERROR(E373*Simulador!$B$11/12,NA())</f>
        <v>#N/A</v>
      </c>
    </row>
    <row r="374" spans="1:6" ht="18" customHeight="1">
      <c r="A374" s="1" t="e">
        <f>IF(ROW()-4&lt;=Simulador!$B$9*12,ROW()-4,NA())</f>
        <v>#N/A</v>
      </c>
      <c r="B374" s="10" t="e">
        <f t="shared" ca="1" si="10"/>
        <v>#N/A</v>
      </c>
      <c r="C374" s="13" t="e">
        <f>IFERROR(Simulador!$B$7*(1+Simulador!$B$12)^INT((A374-1)/12),NA())</f>
        <v>#N/A</v>
      </c>
      <c r="D374" s="13" t="e">
        <f t="shared" si="11"/>
        <v>#N/A</v>
      </c>
      <c r="E374" s="13" t="e">
        <f>IFERROR(E373*(1+Simulador!$G$12)+C374,NA())</f>
        <v>#N/A</v>
      </c>
      <c r="F374" s="13" t="e">
        <f>IFERROR(E374*Simulador!$B$11/12,NA())</f>
        <v>#N/A</v>
      </c>
    </row>
    <row r="375" spans="1:6" ht="18" customHeight="1">
      <c r="A375" s="1" t="e">
        <f>IF(ROW()-4&lt;=Simulador!$B$9*12,ROW()-4,NA())</f>
        <v>#N/A</v>
      </c>
      <c r="B375" s="10" t="e">
        <f t="shared" ca="1" si="10"/>
        <v>#N/A</v>
      </c>
      <c r="C375" s="13" t="e">
        <f>IFERROR(Simulador!$B$7*(1+Simulador!$B$12)^INT((A375-1)/12),NA())</f>
        <v>#N/A</v>
      </c>
      <c r="D375" s="13" t="e">
        <f t="shared" si="11"/>
        <v>#N/A</v>
      </c>
      <c r="E375" s="13" t="e">
        <f>IFERROR(E374*(1+Simulador!$G$12)+C375,NA())</f>
        <v>#N/A</v>
      </c>
      <c r="F375" s="13" t="e">
        <f>IFERROR(E375*Simulador!$B$11/12,NA())</f>
        <v>#N/A</v>
      </c>
    </row>
    <row r="376" spans="1:6" ht="18" customHeight="1">
      <c r="A376" s="1" t="e">
        <f>IF(ROW()-4&lt;=Simulador!$B$9*12,ROW()-4,NA())</f>
        <v>#N/A</v>
      </c>
      <c r="B376" s="10" t="e">
        <f t="shared" ca="1" si="10"/>
        <v>#N/A</v>
      </c>
      <c r="C376" s="13" t="e">
        <f>IFERROR(Simulador!$B$7*(1+Simulador!$B$12)^INT((A376-1)/12),NA())</f>
        <v>#N/A</v>
      </c>
      <c r="D376" s="13" t="e">
        <f t="shared" si="11"/>
        <v>#N/A</v>
      </c>
      <c r="E376" s="13" t="e">
        <f>IFERROR(E375*(1+Simulador!$G$12)+C376,NA())</f>
        <v>#N/A</v>
      </c>
      <c r="F376" s="13" t="e">
        <f>IFERROR(E376*Simulador!$B$11/12,NA())</f>
        <v>#N/A</v>
      </c>
    </row>
    <row r="377" spans="1:6" ht="18" customHeight="1">
      <c r="A377" s="1" t="e">
        <f>IF(ROW()-4&lt;=Simulador!$B$9*12,ROW()-4,NA())</f>
        <v>#N/A</v>
      </c>
      <c r="B377" s="10" t="e">
        <f t="shared" ca="1" si="10"/>
        <v>#N/A</v>
      </c>
      <c r="C377" s="13" t="e">
        <f>IFERROR(Simulador!$B$7*(1+Simulador!$B$12)^INT((A377-1)/12),NA())</f>
        <v>#N/A</v>
      </c>
      <c r="D377" s="13" t="e">
        <f t="shared" si="11"/>
        <v>#N/A</v>
      </c>
      <c r="E377" s="13" t="e">
        <f>IFERROR(E376*(1+Simulador!$G$12)+C377,NA())</f>
        <v>#N/A</v>
      </c>
      <c r="F377" s="13" t="e">
        <f>IFERROR(E377*Simulador!$B$11/12,NA())</f>
        <v>#N/A</v>
      </c>
    </row>
    <row r="378" spans="1:6" ht="18" customHeight="1">
      <c r="A378" s="1" t="e">
        <f>IF(ROW()-4&lt;=Simulador!$B$9*12,ROW()-4,NA())</f>
        <v>#N/A</v>
      </c>
      <c r="B378" s="10" t="e">
        <f t="shared" ca="1" si="10"/>
        <v>#N/A</v>
      </c>
      <c r="C378" s="13" t="e">
        <f>IFERROR(Simulador!$B$7*(1+Simulador!$B$12)^INT((A378-1)/12),NA())</f>
        <v>#N/A</v>
      </c>
      <c r="D378" s="13" t="e">
        <f t="shared" si="11"/>
        <v>#N/A</v>
      </c>
      <c r="E378" s="13" t="e">
        <f>IFERROR(E377*(1+Simulador!$G$12)+C378,NA())</f>
        <v>#N/A</v>
      </c>
      <c r="F378" s="13" t="e">
        <f>IFERROR(E378*Simulador!$B$11/12,NA())</f>
        <v>#N/A</v>
      </c>
    </row>
    <row r="379" spans="1:6" ht="18" customHeight="1">
      <c r="A379" s="1" t="e">
        <f>IF(ROW()-4&lt;=Simulador!$B$9*12,ROW()-4,NA())</f>
        <v>#N/A</v>
      </c>
      <c r="B379" s="10" t="e">
        <f t="shared" ca="1" si="10"/>
        <v>#N/A</v>
      </c>
      <c r="C379" s="13" t="e">
        <f>IFERROR(Simulador!$B$7*(1+Simulador!$B$12)^INT((A379-1)/12),NA())</f>
        <v>#N/A</v>
      </c>
      <c r="D379" s="13" t="e">
        <f t="shared" si="11"/>
        <v>#N/A</v>
      </c>
      <c r="E379" s="13" t="e">
        <f>IFERROR(E378*(1+Simulador!$G$12)+C379,NA())</f>
        <v>#N/A</v>
      </c>
      <c r="F379" s="13" t="e">
        <f>IFERROR(E379*Simulador!$B$11/12,NA())</f>
        <v>#N/A</v>
      </c>
    </row>
    <row r="380" spans="1:6" ht="18" customHeight="1">
      <c r="A380" s="1" t="e">
        <f>IF(ROW()-4&lt;=Simulador!$B$9*12,ROW()-4,NA())</f>
        <v>#N/A</v>
      </c>
      <c r="B380" s="10" t="e">
        <f t="shared" ca="1" si="10"/>
        <v>#N/A</v>
      </c>
      <c r="C380" s="13" t="e">
        <f>IFERROR(Simulador!$B$7*(1+Simulador!$B$12)^INT((A380-1)/12),NA())</f>
        <v>#N/A</v>
      </c>
      <c r="D380" s="13" t="e">
        <f t="shared" si="11"/>
        <v>#N/A</v>
      </c>
      <c r="E380" s="13" t="e">
        <f>IFERROR(E379*(1+Simulador!$G$12)+C380,NA())</f>
        <v>#N/A</v>
      </c>
      <c r="F380" s="13" t="e">
        <f>IFERROR(E380*Simulador!$B$11/12,NA())</f>
        <v>#N/A</v>
      </c>
    </row>
    <row r="381" spans="1:6" ht="18" customHeight="1">
      <c r="A381" s="1" t="e">
        <f>IF(ROW()-4&lt;=Simulador!$B$9*12,ROW()-4,NA())</f>
        <v>#N/A</v>
      </c>
      <c r="B381" s="10" t="e">
        <f t="shared" ca="1" si="10"/>
        <v>#N/A</v>
      </c>
      <c r="C381" s="13" t="e">
        <f>IFERROR(Simulador!$B$7*(1+Simulador!$B$12)^INT((A381-1)/12),NA())</f>
        <v>#N/A</v>
      </c>
      <c r="D381" s="13" t="e">
        <f t="shared" si="11"/>
        <v>#N/A</v>
      </c>
      <c r="E381" s="13" t="e">
        <f>IFERROR(E380*(1+Simulador!$G$12)+C381,NA())</f>
        <v>#N/A</v>
      </c>
      <c r="F381" s="13" t="e">
        <f>IFERROR(E381*Simulador!$B$11/12,NA())</f>
        <v>#N/A</v>
      </c>
    </row>
    <row r="382" spans="1:6" ht="18" customHeight="1">
      <c r="A382" s="1" t="e">
        <f>IF(ROW()-4&lt;=Simulador!$B$9*12,ROW()-4,NA())</f>
        <v>#N/A</v>
      </c>
      <c r="B382" s="10" t="e">
        <f t="shared" ca="1" si="10"/>
        <v>#N/A</v>
      </c>
      <c r="C382" s="13" t="e">
        <f>IFERROR(Simulador!$B$7*(1+Simulador!$B$12)^INT((A382-1)/12),NA())</f>
        <v>#N/A</v>
      </c>
      <c r="D382" s="13" t="e">
        <f t="shared" si="11"/>
        <v>#N/A</v>
      </c>
      <c r="E382" s="13" t="e">
        <f>IFERROR(E381*(1+Simulador!$G$12)+C382,NA())</f>
        <v>#N/A</v>
      </c>
      <c r="F382" s="13" t="e">
        <f>IFERROR(E382*Simulador!$B$11/12,NA())</f>
        <v>#N/A</v>
      </c>
    </row>
    <row r="383" spans="1:6" ht="18" customHeight="1">
      <c r="A383" s="1" t="e">
        <f>IF(ROW()-4&lt;=Simulador!$B$9*12,ROW()-4,NA())</f>
        <v>#N/A</v>
      </c>
      <c r="B383" s="10" t="e">
        <f t="shared" ca="1" si="10"/>
        <v>#N/A</v>
      </c>
      <c r="C383" s="13" t="e">
        <f>IFERROR(Simulador!$B$7*(1+Simulador!$B$12)^INT((A383-1)/12),NA())</f>
        <v>#N/A</v>
      </c>
      <c r="D383" s="13" t="e">
        <f t="shared" si="11"/>
        <v>#N/A</v>
      </c>
      <c r="E383" s="13" t="e">
        <f>IFERROR(E382*(1+Simulador!$G$12)+C383,NA())</f>
        <v>#N/A</v>
      </c>
      <c r="F383" s="13" t="e">
        <f>IFERROR(E383*Simulador!$B$11/12,NA())</f>
        <v>#N/A</v>
      </c>
    </row>
    <row r="384" spans="1:6" ht="18" customHeight="1">
      <c r="A384" s="1" t="e">
        <f>IF(ROW()-4&lt;=Simulador!$B$9*12,ROW()-4,NA())</f>
        <v>#N/A</v>
      </c>
      <c r="B384" s="10" t="e">
        <f t="shared" ca="1" si="10"/>
        <v>#N/A</v>
      </c>
      <c r="C384" s="13" t="e">
        <f>IFERROR(Simulador!$B$7*(1+Simulador!$B$12)^INT((A384-1)/12),NA())</f>
        <v>#N/A</v>
      </c>
      <c r="D384" s="13" t="e">
        <f t="shared" si="11"/>
        <v>#N/A</v>
      </c>
      <c r="E384" s="13" t="e">
        <f>IFERROR(E383*(1+Simulador!$G$12)+C384,NA())</f>
        <v>#N/A</v>
      </c>
      <c r="F384" s="13" t="e">
        <f>IFERROR(E384*Simulador!$B$11/12,NA())</f>
        <v>#N/A</v>
      </c>
    </row>
    <row r="385" spans="1:6" ht="18" customHeight="1">
      <c r="A385" s="1" t="e">
        <f>IF(ROW()-4&lt;=Simulador!$B$9*12,ROW()-4,NA())</f>
        <v>#N/A</v>
      </c>
      <c r="B385" s="10" t="e">
        <f t="shared" ca="1" si="10"/>
        <v>#N/A</v>
      </c>
      <c r="C385" s="13" t="e">
        <f>IFERROR(Simulador!$B$7*(1+Simulador!$B$12)^INT((A385-1)/12),NA())</f>
        <v>#N/A</v>
      </c>
      <c r="D385" s="13" t="e">
        <f t="shared" si="11"/>
        <v>#N/A</v>
      </c>
      <c r="E385" s="13" t="e">
        <f>IFERROR(E384*(1+Simulador!$G$12)+C385,NA())</f>
        <v>#N/A</v>
      </c>
      <c r="F385" s="13" t="e">
        <f>IFERROR(E385*Simulador!$B$11/12,NA())</f>
        <v>#N/A</v>
      </c>
    </row>
    <row r="386" spans="1:6" ht="18" customHeight="1">
      <c r="A386" s="1" t="e">
        <f>IF(ROW()-4&lt;=Simulador!$B$9*12,ROW()-4,NA())</f>
        <v>#N/A</v>
      </c>
      <c r="B386" s="10" t="e">
        <f t="shared" ca="1" si="10"/>
        <v>#N/A</v>
      </c>
      <c r="C386" s="13" t="e">
        <f>IFERROR(Simulador!$B$7*(1+Simulador!$B$12)^INT((A386-1)/12),NA())</f>
        <v>#N/A</v>
      </c>
      <c r="D386" s="13" t="e">
        <f t="shared" si="11"/>
        <v>#N/A</v>
      </c>
      <c r="E386" s="13" t="e">
        <f>IFERROR(E385*(1+Simulador!$G$12)+C386,NA())</f>
        <v>#N/A</v>
      </c>
      <c r="F386" s="13" t="e">
        <f>IFERROR(E386*Simulador!$B$11/12,NA())</f>
        <v>#N/A</v>
      </c>
    </row>
    <row r="387" spans="1:6" ht="18" customHeight="1">
      <c r="A387" s="1" t="e">
        <f>IF(ROW()-4&lt;=Simulador!$B$9*12,ROW()-4,NA())</f>
        <v>#N/A</v>
      </c>
      <c r="B387" s="10" t="e">
        <f t="shared" ca="1" si="10"/>
        <v>#N/A</v>
      </c>
      <c r="C387" s="13" t="e">
        <f>IFERROR(Simulador!$B$7*(1+Simulador!$B$12)^INT((A387-1)/12),NA())</f>
        <v>#N/A</v>
      </c>
      <c r="D387" s="13" t="e">
        <f t="shared" si="11"/>
        <v>#N/A</v>
      </c>
      <c r="E387" s="13" t="e">
        <f>IFERROR(E386*(1+Simulador!$G$12)+C387,NA())</f>
        <v>#N/A</v>
      </c>
      <c r="F387" s="13" t="e">
        <f>IFERROR(E387*Simulador!$B$11/12,NA())</f>
        <v>#N/A</v>
      </c>
    </row>
    <row r="388" spans="1:6" ht="18" customHeight="1">
      <c r="A388" s="1" t="e">
        <f>IF(ROW()-4&lt;=Simulador!$B$9*12,ROW()-4,NA())</f>
        <v>#N/A</v>
      </c>
      <c r="B388" s="10" t="e">
        <f t="shared" ca="1" si="10"/>
        <v>#N/A</v>
      </c>
      <c r="C388" s="13" t="e">
        <f>IFERROR(Simulador!$B$7*(1+Simulador!$B$12)^INT((A388-1)/12),NA())</f>
        <v>#N/A</v>
      </c>
      <c r="D388" s="13" t="e">
        <f t="shared" si="11"/>
        <v>#N/A</v>
      </c>
      <c r="E388" s="13" t="e">
        <f>IFERROR(E387*(1+Simulador!$G$12)+C388,NA())</f>
        <v>#N/A</v>
      </c>
      <c r="F388" s="13" t="e">
        <f>IFERROR(E388*Simulador!$B$11/12,NA())</f>
        <v>#N/A</v>
      </c>
    </row>
    <row r="389" spans="1:6" ht="18" customHeight="1">
      <c r="A389" s="1" t="e">
        <f>IF(ROW()-4&lt;=Simulador!$B$9*12,ROW()-4,NA())</f>
        <v>#N/A</v>
      </c>
      <c r="B389" s="10" t="e">
        <f t="shared" ca="1" si="10"/>
        <v>#N/A</v>
      </c>
      <c r="C389" s="13" t="e">
        <f>IFERROR(Simulador!$B$7*(1+Simulador!$B$12)^INT((A389-1)/12),NA())</f>
        <v>#N/A</v>
      </c>
      <c r="D389" s="13" t="e">
        <f t="shared" si="11"/>
        <v>#N/A</v>
      </c>
      <c r="E389" s="13" t="e">
        <f>IFERROR(E388*(1+Simulador!$G$12)+C389,NA())</f>
        <v>#N/A</v>
      </c>
      <c r="F389" s="13" t="e">
        <f>IFERROR(E389*Simulador!$B$11/12,NA())</f>
        <v>#N/A</v>
      </c>
    </row>
    <row r="390" spans="1:6" ht="18" customHeight="1">
      <c r="A390" s="1" t="e">
        <f>IF(ROW()-4&lt;=Simulador!$B$9*12,ROW()-4,NA())</f>
        <v>#N/A</v>
      </c>
      <c r="B390" s="10" t="e">
        <f t="shared" ref="B390:B453" ca="1" si="12">IFERROR(EDATE($B$4,A390),NA())</f>
        <v>#N/A</v>
      </c>
      <c r="C390" s="13" t="e">
        <f>IFERROR(Simulador!$B$7*(1+Simulador!$B$12)^INT((A390-1)/12),NA())</f>
        <v>#N/A</v>
      </c>
      <c r="D390" s="13" t="e">
        <f t="shared" ref="D390:D453" si="13">IFERROR(D389+C390,NA())</f>
        <v>#N/A</v>
      </c>
      <c r="E390" s="13" t="e">
        <f>IFERROR(E389*(1+Simulador!$G$12)+C390,NA())</f>
        <v>#N/A</v>
      </c>
      <c r="F390" s="13" t="e">
        <f>IFERROR(E390*Simulador!$B$11/12,NA())</f>
        <v>#N/A</v>
      </c>
    </row>
    <row r="391" spans="1:6" ht="18" customHeight="1">
      <c r="A391" s="1" t="e">
        <f>IF(ROW()-4&lt;=Simulador!$B$9*12,ROW()-4,NA())</f>
        <v>#N/A</v>
      </c>
      <c r="B391" s="10" t="e">
        <f t="shared" ca="1" si="12"/>
        <v>#N/A</v>
      </c>
      <c r="C391" s="13" t="e">
        <f>IFERROR(Simulador!$B$7*(1+Simulador!$B$12)^INT((A391-1)/12),NA())</f>
        <v>#N/A</v>
      </c>
      <c r="D391" s="13" t="e">
        <f t="shared" si="13"/>
        <v>#N/A</v>
      </c>
      <c r="E391" s="13" t="e">
        <f>IFERROR(E390*(1+Simulador!$G$12)+C391,NA())</f>
        <v>#N/A</v>
      </c>
      <c r="F391" s="13" t="e">
        <f>IFERROR(E391*Simulador!$B$11/12,NA())</f>
        <v>#N/A</v>
      </c>
    </row>
    <row r="392" spans="1:6" ht="18" customHeight="1">
      <c r="A392" s="1" t="e">
        <f>IF(ROW()-4&lt;=Simulador!$B$9*12,ROW()-4,NA())</f>
        <v>#N/A</v>
      </c>
      <c r="B392" s="10" t="e">
        <f t="shared" ca="1" si="12"/>
        <v>#N/A</v>
      </c>
      <c r="C392" s="13" t="e">
        <f>IFERROR(Simulador!$B$7*(1+Simulador!$B$12)^INT((A392-1)/12),NA())</f>
        <v>#N/A</v>
      </c>
      <c r="D392" s="13" t="e">
        <f t="shared" si="13"/>
        <v>#N/A</v>
      </c>
      <c r="E392" s="13" t="e">
        <f>IFERROR(E391*(1+Simulador!$G$12)+C392,NA())</f>
        <v>#N/A</v>
      </c>
      <c r="F392" s="13" t="e">
        <f>IFERROR(E392*Simulador!$B$11/12,NA())</f>
        <v>#N/A</v>
      </c>
    </row>
    <row r="393" spans="1:6" ht="18" customHeight="1">
      <c r="A393" s="1" t="e">
        <f>IF(ROW()-4&lt;=Simulador!$B$9*12,ROW()-4,NA())</f>
        <v>#N/A</v>
      </c>
      <c r="B393" s="10" t="e">
        <f t="shared" ca="1" si="12"/>
        <v>#N/A</v>
      </c>
      <c r="C393" s="13" t="e">
        <f>IFERROR(Simulador!$B$7*(1+Simulador!$B$12)^INT((A393-1)/12),NA())</f>
        <v>#N/A</v>
      </c>
      <c r="D393" s="13" t="e">
        <f t="shared" si="13"/>
        <v>#N/A</v>
      </c>
      <c r="E393" s="13" t="e">
        <f>IFERROR(E392*(1+Simulador!$G$12)+C393,NA())</f>
        <v>#N/A</v>
      </c>
      <c r="F393" s="13" t="e">
        <f>IFERROR(E393*Simulador!$B$11/12,NA())</f>
        <v>#N/A</v>
      </c>
    </row>
    <row r="394" spans="1:6" ht="18" customHeight="1">
      <c r="A394" s="1" t="e">
        <f>IF(ROW()-4&lt;=Simulador!$B$9*12,ROW()-4,NA())</f>
        <v>#N/A</v>
      </c>
      <c r="B394" s="10" t="e">
        <f t="shared" ca="1" si="12"/>
        <v>#N/A</v>
      </c>
      <c r="C394" s="13" t="e">
        <f>IFERROR(Simulador!$B$7*(1+Simulador!$B$12)^INT((A394-1)/12),NA())</f>
        <v>#N/A</v>
      </c>
      <c r="D394" s="13" t="e">
        <f t="shared" si="13"/>
        <v>#N/A</v>
      </c>
      <c r="E394" s="13" t="e">
        <f>IFERROR(E393*(1+Simulador!$G$12)+C394,NA())</f>
        <v>#N/A</v>
      </c>
      <c r="F394" s="13" t="e">
        <f>IFERROR(E394*Simulador!$B$11/12,NA())</f>
        <v>#N/A</v>
      </c>
    </row>
    <row r="395" spans="1:6" ht="18" customHeight="1">
      <c r="A395" s="1" t="e">
        <f>IF(ROW()-4&lt;=Simulador!$B$9*12,ROW()-4,NA())</f>
        <v>#N/A</v>
      </c>
      <c r="B395" s="10" t="e">
        <f t="shared" ca="1" si="12"/>
        <v>#N/A</v>
      </c>
      <c r="C395" s="13" t="e">
        <f>IFERROR(Simulador!$B$7*(1+Simulador!$B$12)^INT((A395-1)/12),NA())</f>
        <v>#N/A</v>
      </c>
      <c r="D395" s="13" t="e">
        <f t="shared" si="13"/>
        <v>#N/A</v>
      </c>
      <c r="E395" s="13" t="e">
        <f>IFERROR(E394*(1+Simulador!$G$12)+C395,NA())</f>
        <v>#N/A</v>
      </c>
      <c r="F395" s="13" t="e">
        <f>IFERROR(E395*Simulador!$B$11/12,NA())</f>
        <v>#N/A</v>
      </c>
    </row>
    <row r="396" spans="1:6" ht="18" customHeight="1">
      <c r="A396" s="1" t="e">
        <f>IF(ROW()-4&lt;=Simulador!$B$9*12,ROW()-4,NA())</f>
        <v>#N/A</v>
      </c>
      <c r="B396" s="10" t="e">
        <f t="shared" ca="1" si="12"/>
        <v>#N/A</v>
      </c>
      <c r="C396" s="13" t="e">
        <f>IFERROR(Simulador!$B$7*(1+Simulador!$B$12)^INT((A396-1)/12),NA())</f>
        <v>#N/A</v>
      </c>
      <c r="D396" s="13" t="e">
        <f t="shared" si="13"/>
        <v>#N/A</v>
      </c>
      <c r="E396" s="13" t="e">
        <f>IFERROR(E395*(1+Simulador!$G$12)+C396,NA())</f>
        <v>#N/A</v>
      </c>
      <c r="F396" s="13" t="e">
        <f>IFERROR(E396*Simulador!$B$11/12,NA())</f>
        <v>#N/A</v>
      </c>
    </row>
    <row r="397" spans="1:6" ht="18" customHeight="1">
      <c r="A397" s="1" t="e">
        <f>IF(ROW()-4&lt;=Simulador!$B$9*12,ROW()-4,NA())</f>
        <v>#N/A</v>
      </c>
      <c r="B397" s="10" t="e">
        <f t="shared" ca="1" si="12"/>
        <v>#N/A</v>
      </c>
      <c r="C397" s="13" t="e">
        <f>IFERROR(Simulador!$B$7*(1+Simulador!$B$12)^INT((A397-1)/12),NA())</f>
        <v>#N/A</v>
      </c>
      <c r="D397" s="13" t="e">
        <f t="shared" si="13"/>
        <v>#N/A</v>
      </c>
      <c r="E397" s="13" t="e">
        <f>IFERROR(E396*(1+Simulador!$G$12)+C397,NA())</f>
        <v>#N/A</v>
      </c>
      <c r="F397" s="13" t="e">
        <f>IFERROR(E397*Simulador!$B$11/12,NA())</f>
        <v>#N/A</v>
      </c>
    </row>
    <row r="398" spans="1:6" ht="18" customHeight="1">
      <c r="A398" s="1" t="e">
        <f>IF(ROW()-4&lt;=Simulador!$B$9*12,ROW()-4,NA())</f>
        <v>#N/A</v>
      </c>
      <c r="B398" s="10" t="e">
        <f t="shared" ca="1" si="12"/>
        <v>#N/A</v>
      </c>
      <c r="C398" s="13" t="e">
        <f>IFERROR(Simulador!$B$7*(1+Simulador!$B$12)^INT((A398-1)/12),NA())</f>
        <v>#N/A</v>
      </c>
      <c r="D398" s="13" t="e">
        <f t="shared" si="13"/>
        <v>#N/A</v>
      </c>
      <c r="E398" s="13" t="e">
        <f>IFERROR(E397*(1+Simulador!$G$12)+C398,NA())</f>
        <v>#N/A</v>
      </c>
      <c r="F398" s="13" t="e">
        <f>IFERROR(E398*Simulador!$B$11/12,NA())</f>
        <v>#N/A</v>
      </c>
    </row>
    <row r="399" spans="1:6" ht="18" customHeight="1">
      <c r="A399" s="1" t="e">
        <f>IF(ROW()-4&lt;=Simulador!$B$9*12,ROW()-4,NA())</f>
        <v>#N/A</v>
      </c>
      <c r="B399" s="10" t="e">
        <f t="shared" ca="1" si="12"/>
        <v>#N/A</v>
      </c>
      <c r="C399" s="13" t="e">
        <f>IFERROR(Simulador!$B$7*(1+Simulador!$B$12)^INT((A399-1)/12),NA())</f>
        <v>#N/A</v>
      </c>
      <c r="D399" s="13" t="e">
        <f t="shared" si="13"/>
        <v>#N/A</v>
      </c>
      <c r="E399" s="13" t="e">
        <f>IFERROR(E398*(1+Simulador!$G$12)+C399,NA())</f>
        <v>#N/A</v>
      </c>
      <c r="F399" s="13" t="e">
        <f>IFERROR(E399*Simulador!$B$11/12,NA())</f>
        <v>#N/A</v>
      </c>
    </row>
    <row r="400" spans="1:6" ht="18" customHeight="1">
      <c r="A400" s="1" t="e">
        <f>IF(ROW()-4&lt;=Simulador!$B$9*12,ROW()-4,NA())</f>
        <v>#N/A</v>
      </c>
      <c r="B400" s="10" t="e">
        <f t="shared" ca="1" si="12"/>
        <v>#N/A</v>
      </c>
      <c r="C400" s="13" t="e">
        <f>IFERROR(Simulador!$B$7*(1+Simulador!$B$12)^INT((A400-1)/12),NA())</f>
        <v>#N/A</v>
      </c>
      <c r="D400" s="13" t="e">
        <f t="shared" si="13"/>
        <v>#N/A</v>
      </c>
      <c r="E400" s="13" t="e">
        <f>IFERROR(E399*(1+Simulador!$G$12)+C400,NA())</f>
        <v>#N/A</v>
      </c>
      <c r="F400" s="13" t="e">
        <f>IFERROR(E400*Simulador!$B$11/12,NA())</f>
        <v>#N/A</v>
      </c>
    </row>
    <row r="401" spans="1:6" ht="18" customHeight="1">
      <c r="A401" s="1" t="e">
        <f>IF(ROW()-4&lt;=Simulador!$B$9*12,ROW()-4,NA())</f>
        <v>#N/A</v>
      </c>
      <c r="B401" s="10" t="e">
        <f t="shared" ca="1" si="12"/>
        <v>#N/A</v>
      </c>
      <c r="C401" s="13" t="e">
        <f>IFERROR(Simulador!$B$7*(1+Simulador!$B$12)^INT((A401-1)/12),NA())</f>
        <v>#N/A</v>
      </c>
      <c r="D401" s="13" t="e">
        <f t="shared" si="13"/>
        <v>#N/A</v>
      </c>
      <c r="E401" s="13" t="e">
        <f>IFERROR(E400*(1+Simulador!$G$12)+C401,NA())</f>
        <v>#N/A</v>
      </c>
      <c r="F401" s="13" t="e">
        <f>IFERROR(E401*Simulador!$B$11/12,NA())</f>
        <v>#N/A</v>
      </c>
    </row>
    <row r="402" spans="1:6" ht="18" customHeight="1">
      <c r="A402" s="1" t="e">
        <f>IF(ROW()-4&lt;=Simulador!$B$9*12,ROW()-4,NA())</f>
        <v>#N/A</v>
      </c>
      <c r="B402" s="10" t="e">
        <f t="shared" ca="1" si="12"/>
        <v>#N/A</v>
      </c>
      <c r="C402" s="13" t="e">
        <f>IFERROR(Simulador!$B$7*(1+Simulador!$B$12)^INT((A402-1)/12),NA())</f>
        <v>#N/A</v>
      </c>
      <c r="D402" s="13" t="e">
        <f t="shared" si="13"/>
        <v>#N/A</v>
      </c>
      <c r="E402" s="13" t="e">
        <f>IFERROR(E401*(1+Simulador!$G$12)+C402,NA())</f>
        <v>#N/A</v>
      </c>
      <c r="F402" s="13" t="e">
        <f>IFERROR(E402*Simulador!$B$11/12,NA())</f>
        <v>#N/A</v>
      </c>
    </row>
    <row r="403" spans="1:6" ht="18" customHeight="1">
      <c r="A403" s="1" t="e">
        <f>IF(ROW()-4&lt;=Simulador!$B$9*12,ROW()-4,NA())</f>
        <v>#N/A</v>
      </c>
      <c r="B403" s="10" t="e">
        <f t="shared" ca="1" si="12"/>
        <v>#N/A</v>
      </c>
      <c r="C403" s="13" t="e">
        <f>IFERROR(Simulador!$B$7*(1+Simulador!$B$12)^INT((A403-1)/12),NA())</f>
        <v>#N/A</v>
      </c>
      <c r="D403" s="13" t="e">
        <f t="shared" si="13"/>
        <v>#N/A</v>
      </c>
      <c r="E403" s="13" t="e">
        <f>IFERROR(E402*(1+Simulador!$G$12)+C403,NA())</f>
        <v>#N/A</v>
      </c>
      <c r="F403" s="13" t="e">
        <f>IFERROR(E403*Simulador!$B$11/12,NA())</f>
        <v>#N/A</v>
      </c>
    </row>
    <row r="404" spans="1:6" ht="18" customHeight="1">
      <c r="A404" s="1" t="e">
        <f>IF(ROW()-4&lt;=Simulador!$B$9*12,ROW()-4,NA())</f>
        <v>#N/A</v>
      </c>
      <c r="B404" s="10" t="e">
        <f t="shared" ca="1" si="12"/>
        <v>#N/A</v>
      </c>
      <c r="C404" s="13" t="e">
        <f>IFERROR(Simulador!$B$7*(1+Simulador!$B$12)^INT((A404-1)/12),NA())</f>
        <v>#N/A</v>
      </c>
      <c r="D404" s="13" t="e">
        <f t="shared" si="13"/>
        <v>#N/A</v>
      </c>
      <c r="E404" s="13" t="e">
        <f>IFERROR(E403*(1+Simulador!$G$12)+C404,NA())</f>
        <v>#N/A</v>
      </c>
      <c r="F404" s="13" t="e">
        <f>IFERROR(E404*Simulador!$B$11/12,NA())</f>
        <v>#N/A</v>
      </c>
    </row>
    <row r="405" spans="1:6" ht="18" customHeight="1">
      <c r="A405" s="1" t="e">
        <f>IF(ROW()-4&lt;=Simulador!$B$9*12,ROW()-4,NA())</f>
        <v>#N/A</v>
      </c>
      <c r="B405" s="10" t="e">
        <f t="shared" ca="1" si="12"/>
        <v>#N/A</v>
      </c>
      <c r="C405" s="13" t="e">
        <f>IFERROR(Simulador!$B$7*(1+Simulador!$B$12)^INT((A405-1)/12),NA())</f>
        <v>#N/A</v>
      </c>
      <c r="D405" s="13" t="e">
        <f t="shared" si="13"/>
        <v>#N/A</v>
      </c>
      <c r="E405" s="13" t="e">
        <f>IFERROR(E404*(1+Simulador!$G$12)+C405,NA())</f>
        <v>#N/A</v>
      </c>
      <c r="F405" s="13" t="e">
        <f>IFERROR(E405*Simulador!$B$11/12,NA())</f>
        <v>#N/A</v>
      </c>
    </row>
    <row r="406" spans="1:6" ht="18" customHeight="1">
      <c r="A406" s="1" t="e">
        <f>IF(ROW()-4&lt;=Simulador!$B$9*12,ROW()-4,NA())</f>
        <v>#N/A</v>
      </c>
      <c r="B406" s="10" t="e">
        <f t="shared" ca="1" si="12"/>
        <v>#N/A</v>
      </c>
      <c r="C406" s="13" t="e">
        <f>IFERROR(Simulador!$B$7*(1+Simulador!$B$12)^INT((A406-1)/12),NA())</f>
        <v>#N/A</v>
      </c>
      <c r="D406" s="13" t="e">
        <f t="shared" si="13"/>
        <v>#N/A</v>
      </c>
      <c r="E406" s="13" t="e">
        <f>IFERROR(E405*(1+Simulador!$G$12)+C406,NA())</f>
        <v>#N/A</v>
      </c>
      <c r="F406" s="13" t="e">
        <f>IFERROR(E406*Simulador!$B$11/12,NA())</f>
        <v>#N/A</v>
      </c>
    </row>
    <row r="407" spans="1:6" ht="18" customHeight="1">
      <c r="A407" s="1" t="e">
        <f>IF(ROW()-4&lt;=Simulador!$B$9*12,ROW()-4,NA())</f>
        <v>#N/A</v>
      </c>
      <c r="B407" s="10" t="e">
        <f t="shared" ca="1" si="12"/>
        <v>#N/A</v>
      </c>
      <c r="C407" s="13" t="e">
        <f>IFERROR(Simulador!$B$7*(1+Simulador!$B$12)^INT((A407-1)/12),NA())</f>
        <v>#N/A</v>
      </c>
      <c r="D407" s="13" t="e">
        <f t="shared" si="13"/>
        <v>#N/A</v>
      </c>
      <c r="E407" s="13" t="e">
        <f>IFERROR(E406*(1+Simulador!$G$12)+C407,NA())</f>
        <v>#N/A</v>
      </c>
      <c r="F407" s="13" t="e">
        <f>IFERROR(E407*Simulador!$B$11/12,NA())</f>
        <v>#N/A</v>
      </c>
    </row>
    <row r="408" spans="1:6" ht="18" customHeight="1">
      <c r="A408" s="1" t="e">
        <f>IF(ROW()-4&lt;=Simulador!$B$9*12,ROW()-4,NA())</f>
        <v>#N/A</v>
      </c>
      <c r="B408" s="10" t="e">
        <f t="shared" ca="1" si="12"/>
        <v>#N/A</v>
      </c>
      <c r="C408" s="13" t="e">
        <f>IFERROR(Simulador!$B$7*(1+Simulador!$B$12)^INT((A408-1)/12),NA())</f>
        <v>#N/A</v>
      </c>
      <c r="D408" s="13" t="e">
        <f t="shared" si="13"/>
        <v>#N/A</v>
      </c>
      <c r="E408" s="13" t="e">
        <f>IFERROR(E407*(1+Simulador!$G$12)+C408,NA())</f>
        <v>#N/A</v>
      </c>
      <c r="F408" s="13" t="e">
        <f>IFERROR(E408*Simulador!$B$11/12,NA())</f>
        <v>#N/A</v>
      </c>
    </row>
    <row r="409" spans="1:6" ht="18" customHeight="1">
      <c r="A409" s="1" t="e">
        <f>IF(ROW()-4&lt;=Simulador!$B$9*12,ROW()-4,NA())</f>
        <v>#N/A</v>
      </c>
      <c r="B409" s="10" t="e">
        <f t="shared" ca="1" si="12"/>
        <v>#N/A</v>
      </c>
      <c r="C409" s="13" t="e">
        <f>IFERROR(Simulador!$B$7*(1+Simulador!$B$12)^INT((A409-1)/12),NA())</f>
        <v>#N/A</v>
      </c>
      <c r="D409" s="13" t="e">
        <f t="shared" si="13"/>
        <v>#N/A</v>
      </c>
      <c r="E409" s="13" t="e">
        <f>IFERROR(E408*(1+Simulador!$G$12)+C409,NA())</f>
        <v>#N/A</v>
      </c>
      <c r="F409" s="13" t="e">
        <f>IFERROR(E409*Simulador!$B$11/12,NA())</f>
        <v>#N/A</v>
      </c>
    </row>
    <row r="410" spans="1:6" ht="18" customHeight="1">
      <c r="A410" s="1" t="e">
        <f>IF(ROW()-4&lt;=Simulador!$B$9*12,ROW()-4,NA())</f>
        <v>#N/A</v>
      </c>
      <c r="B410" s="10" t="e">
        <f t="shared" ca="1" si="12"/>
        <v>#N/A</v>
      </c>
      <c r="C410" s="13" t="e">
        <f>IFERROR(Simulador!$B$7*(1+Simulador!$B$12)^INT((A410-1)/12),NA())</f>
        <v>#N/A</v>
      </c>
      <c r="D410" s="13" t="e">
        <f t="shared" si="13"/>
        <v>#N/A</v>
      </c>
      <c r="E410" s="13" t="e">
        <f>IFERROR(E409*(1+Simulador!$G$12)+C410,NA())</f>
        <v>#N/A</v>
      </c>
      <c r="F410" s="13" t="e">
        <f>IFERROR(E410*Simulador!$B$11/12,NA())</f>
        <v>#N/A</v>
      </c>
    </row>
    <row r="411" spans="1:6" ht="18" customHeight="1">
      <c r="A411" s="1" t="e">
        <f>IF(ROW()-4&lt;=Simulador!$B$9*12,ROW()-4,NA())</f>
        <v>#N/A</v>
      </c>
      <c r="B411" s="10" t="e">
        <f t="shared" ca="1" si="12"/>
        <v>#N/A</v>
      </c>
      <c r="C411" s="13" t="e">
        <f>IFERROR(Simulador!$B$7*(1+Simulador!$B$12)^INT((A411-1)/12),NA())</f>
        <v>#N/A</v>
      </c>
      <c r="D411" s="13" t="e">
        <f t="shared" si="13"/>
        <v>#N/A</v>
      </c>
      <c r="E411" s="13" t="e">
        <f>IFERROR(E410*(1+Simulador!$G$12)+C411,NA())</f>
        <v>#N/A</v>
      </c>
      <c r="F411" s="13" t="e">
        <f>IFERROR(E411*Simulador!$B$11/12,NA())</f>
        <v>#N/A</v>
      </c>
    </row>
    <row r="412" spans="1:6" ht="18" customHeight="1">
      <c r="A412" s="1" t="e">
        <f>IF(ROW()-4&lt;=Simulador!$B$9*12,ROW()-4,NA())</f>
        <v>#N/A</v>
      </c>
      <c r="B412" s="10" t="e">
        <f t="shared" ca="1" si="12"/>
        <v>#N/A</v>
      </c>
      <c r="C412" s="13" t="e">
        <f>IFERROR(Simulador!$B$7*(1+Simulador!$B$12)^INT((A412-1)/12),NA())</f>
        <v>#N/A</v>
      </c>
      <c r="D412" s="13" t="e">
        <f t="shared" si="13"/>
        <v>#N/A</v>
      </c>
      <c r="E412" s="13" t="e">
        <f>IFERROR(E411*(1+Simulador!$G$12)+C412,NA())</f>
        <v>#N/A</v>
      </c>
      <c r="F412" s="13" t="e">
        <f>IFERROR(E412*Simulador!$B$11/12,NA())</f>
        <v>#N/A</v>
      </c>
    </row>
    <row r="413" spans="1:6" ht="18" customHeight="1">
      <c r="A413" s="1" t="e">
        <f>IF(ROW()-4&lt;=Simulador!$B$9*12,ROW()-4,NA())</f>
        <v>#N/A</v>
      </c>
      <c r="B413" s="10" t="e">
        <f t="shared" ca="1" si="12"/>
        <v>#N/A</v>
      </c>
      <c r="C413" s="13" t="e">
        <f>IFERROR(Simulador!$B$7*(1+Simulador!$B$12)^INT((A413-1)/12),NA())</f>
        <v>#N/A</v>
      </c>
      <c r="D413" s="13" t="e">
        <f t="shared" si="13"/>
        <v>#N/A</v>
      </c>
      <c r="E413" s="13" t="e">
        <f>IFERROR(E412*(1+Simulador!$G$12)+C413,NA())</f>
        <v>#N/A</v>
      </c>
      <c r="F413" s="13" t="e">
        <f>IFERROR(E413*Simulador!$B$11/12,NA())</f>
        <v>#N/A</v>
      </c>
    </row>
    <row r="414" spans="1:6" ht="18" customHeight="1">
      <c r="A414" s="1" t="e">
        <f>IF(ROW()-4&lt;=Simulador!$B$9*12,ROW()-4,NA())</f>
        <v>#N/A</v>
      </c>
      <c r="B414" s="10" t="e">
        <f t="shared" ca="1" si="12"/>
        <v>#N/A</v>
      </c>
      <c r="C414" s="13" t="e">
        <f>IFERROR(Simulador!$B$7*(1+Simulador!$B$12)^INT((A414-1)/12),NA())</f>
        <v>#N/A</v>
      </c>
      <c r="D414" s="13" t="e">
        <f t="shared" si="13"/>
        <v>#N/A</v>
      </c>
      <c r="E414" s="13" t="e">
        <f>IFERROR(E413*(1+Simulador!$G$12)+C414,NA())</f>
        <v>#N/A</v>
      </c>
      <c r="F414" s="13" t="e">
        <f>IFERROR(E414*Simulador!$B$11/12,NA())</f>
        <v>#N/A</v>
      </c>
    </row>
    <row r="415" spans="1:6" ht="18" customHeight="1">
      <c r="A415" s="1" t="e">
        <f>IF(ROW()-4&lt;=Simulador!$B$9*12,ROW()-4,NA())</f>
        <v>#N/A</v>
      </c>
      <c r="B415" s="10" t="e">
        <f t="shared" ca="1" si="12"/>
        <v>#N/A</v>
      </c>
      <c r="C415" s="13" t="e">
        <f>IFERROR(Simulador!$B$7*(1+Simulador!$B$12)^INT((A415-1)/12),NA())</f>
        <v>#N/A</v>
      </c>
      <c r="D415" s="13" t="e">
        <f t="shared" si="13"/>
        <v>#N/A</v>
      </c>
      <c r="E415" s="13" t="e">
        <f>IFERROR(E414*(1+Simulador!$G$12)+C415,NA())</f>
        <v>#N/A</v>
      </c>
      <c r="F415" s="13" t="e">
        <f>IFERROR(E415*Simulador!$B$11/12,NA())</f>
        <v>#N/A</v>
      </c>
    </row>
    <row r="416" spans="1:6" ht="18" customHeight="1">
      <c r="A416" s="1" t="e">
        <f>IF(ROW()-4&lt;=Simulador!$B$9*12,ROW()-4,NA())</f>
        <v>#N/A</v>
      </c>
      <c r="B416" s="10" t="e">
        <f t="shared" ca="1" si="12"/>
        <v>#N/A</v>
      </c>
      <c r="C416" s="13" t="e">
        <f>IFERROR(Simulador!$B$7*(1+Simulador!$B$12)^INT((A416-1)/12),NA())</f>
        <v>#N/A</v>
      </c>
      <c r="D416" s="13" t="e">
        <f t="shared" si="13"/>
        <v>#N/A</v>
      </c>
      <c r="E416" s="13" t="e">
        <f>IFERROR(E415*(1+Simulador!$G$12)+C416,NA())</f>
        <v>#N/A</v>
      </c>
      <c r="F416" s="13" t="e">
        <f>IFERROR(E416*Simulador!$B$11/12,NA())</f>
        <v>#N/A</v>
      </c>
    </row>
    <row r="417" spans="1:6" ht="18" customHeight="1">
      <c r="A417" s="1" t="e">
        <f>IF(ROW()-4&lt;=Simulador!$B$9*12,ROW()-4,NA())</f>
        <v>#N/A</v>
      </c>
      <c r="B417" s="10" t="e">
        <f t="shared" ca="1" si="12"/>
        <v>#N/A</v>
      </c>
      <c r="C417" s="13" t="e">
        <f>IFERROR(Simulador!$B$7*(1+Simulador!$B$12)^INT((A417-1)/12),NA())</f>
        <v>#N/A</v>
      </c>
      <c r="D417" s="13" t="e">
        <f t="shared" si="13"/>
        <v>#N/A</v>
      </c>
      <c r="E417" s="13" t="e">
        <f>IFERROR(E416*(1+Simulador!$G$12)+C417,NA())</f>
        <v>#N/A</v>
      </c>
      <c r="F417" s="13" t="e">
        <f>IFERROR(E417*Simulador!$B$11/12,NA())</f>
        <v>#N/A</v>
      </c>
    </row>
    <row r="418" spans="1:6" ht="18" customHeight="1">
      <c r="A418" s="1" t="e">
        <f>IF(ROW()-4&lt;=Simulador!$B$9*12,ROW()-4,NA())</f>
        <v>#N/A</v>
      </c>
      <c r="B418" s="10" t="e">
        <f t="shared" ca="1" si="12"/>
        <v>#N/A</v>
      </c>
      <c r="C418" s="13" t="e">
        <f>IFERROR(Simulador!$B$7*(1+Simulador!$B$12)^INT((A418-1)/12),NA())</f>
        <v>#N/A</v>
      </c>
      <c r="D418" s="13" t="e">
        <f t="shared" si="13"/>
        <v>#N/A</v>
      </c>
      <c r="E418" s="13" t="e">
        <f>IFERROR(E417*(1+Simulador!$G$12)+C418,NA())</f>
        <v>#N/A</v>
      </c>
      <c r="F418" s="13" t="e">
        <f>IFERROR(E418*Simulador!$B$11/12,NA())</f>
        <v>#N/A</v>
      </c>
    </row>
    <row r="419" spans="1:6" ht="18" customHeight="1">
      <c r="A419" s="1" t="e">
        <f>IF(ROW()-4&lt;=Simulador!$B$9*12,ROW()-4,NA())</f>
        <v>#N/A</v>
      </c>
      <c r="B419" s="10" t="e">
        <f t="shared" ca="1" si="12"/>
        <v>#N/A</v>
      </c>
      <c r="C419" s="13" t="e">
        <f>IFERROR(Simulador!$B$7*(1+Simulador!$B$12)^INT((A419-1)/12),NA())</f>
        <v>#N/A</v>
      </c>
      <c r="D419" s="13" t="e">
        <f t="shared" si="13"/>
        <v>#N/A</v>
      </c>
      <c r="E419" s="13" t="e">
        <f>IFERROR(E418*(1+Simulador!$G$12)+C419,NA())</f>
        <v>#N/A</v>
      </c>
      <c r="F419" s="13" t="e">
        <f>IFERROR(E419*Simulador!$B$11/12,NA())</f>
        <v>#N/A</v>
      </c>
    </row>
    <row r="420" spans="1:6" ht="18" customHeight="1">
      <c r="A420" s="1" t="e">
        <f>IF(ROW()-4&lt;=Simulador!$B$9*12,ROW()-4,NA())</f>
        <v>#N/A</v>
      </c>
      <c r="B420" s="10" t="e">
        <f t="shared" ca="1" si="12"/>
        <v>#N/A</v>
      </c>
      <c r="C420" s="13" t="e">
        <f>IFERROR(Simulador!$B$7*(1+Simulador!$B$12)^INT((A420-1)/12),NA())</f>
        <v>#N/A</v>
      </c>
      <c r="D420" s="13" t="e">
        <f t="shared" si="13"/>
        <v>#N/A</v>
      </c>
      <c r="E420" s="13" t="e">
        <f>IFERROR(E419*(1+Simulador!$G$12)+C420,NA())</f>
        <v>#N/A</v>
      </c>
      <c r="F420" s="13" t="e">
        <f>IFERROR(E420*Simulador!$B$11/12,NA())</f>
        <v>#N/A</v>
      </c>
    </row>
    <row r="421" spans="1:6" ht="18" customHeight="1">
      <c r="A421" s="1" t="e">
        <f>IF(ROW()-4&lt;=Simulador!$B$9*12,ROW()-4,NA())</f>
        <v>#N/A</v>
      </c>
      <c r="B421" s="10" t="e">
        <f t="shared" ca="1" si="12"/>
        <v>#N/A</v>
      </c>
      <c r="C421" s="13" t="e">
        <f>IFERROR(Simulador!$B$7*(1+Simulador!$B$12)^INT((A421-1)/12),NA())</f>
        <v>#N/A</v>
      </c>
      <c r="D421" s="13" t="e">
        <f t="shared" si="13"/>
        <v>#N/A</v>
      </c>
      <c r="E421" s="13" t="e">
        <f>IFERROR(E420*(1+Simulador!$G$12)+C421,NA())</f>
        <v>#N/A</v>
      </c>
      <c r="F421" s="13" t="e">
        <f>IFERROR(E421*Simulador!$B$11/12,NA())</f>
        <v>#N/A</v>
      </c>
    </row>
    <row r="422" spans="1:6" ht="18" customHeight="1">
      <c r="A422" s="1" t="e">
        <f>IF(ROW()-4&lt;=Simulador!$B$9*12,ROW()-4,NA())</f>
        <v>#N/A</v>
      </c>
      <c r="B422" s="10" t="e">
        <f t="shared" ca="1" si="12"/>
        <v>#N/A</v>
      </c>
      <c r="C422" s="13" t="e">
        <f>IFERROR(Simulador!$B$7*(1+Simulador!$B$12)^INT((A422-1)/12),NA())</f>
        <v>#N/A</v>
      </c>
      <c r="D422" s="13" t="e">
        <f t="shared" si="13"/>
        <v>#N/A</v>
      </c>
      <c r="E422" s="13" t="e">
        <f>IFERROR(E421*(1+Simulador!$G$12)+C422,NA())</f>
        <v>#N/A</v>
      </c>
      <c r="F422" s="13" t="e">
        <f>IFERROR(E422*Simulador!$B$11/12,NA())</f>
        <v>#N/A</v>
      </c>
    </row>
    <row r="423" spans="1:6" ht="18" customHeight="1">
      <c r="A423" s="1" t="e">
        <f>IF(ROW()-4&lt;=Simulador!$B$9*12,ROW()-4,NA())</f>
        <v>#N/A</v>
      </c>
      <c r="B423" s="10" t="e">
        <f t="shared" ca="1" si="12"/>
        <v>#N/A</v>
      </c>
      <c r="C423" s="13" t="e">
        <f>IFERROR(Simulador!$B$7*(1+Simulador!$B$12)^INT((A423-1)/12),NA())</f>
        <v>#N/A</v>
      </c>
      <c r="D423" s="13" t="e">
        <f t="shared" si="13"/>
        <v>#N/A</v>
      </c>
      <c r="E423" s="13" t="e">
        <f>IFERROR(E422*(1+Simulador!$G$12)+C423,NA())</f>
        <v>#N/A</v>
      </c>
      <c r="F423" s="13" t="e">
        <f>IFERROR(E423*Simulador!$B$11/12,NA())</f>
        <v>#N/A</v>
      </c>
    </row>
    <row r="424" spans="1:6" ht="18" customHeight="1">
      <c r="A424" s="1" t="e">
        <f>IF(ROW()-4&lt;=Simulador!$B$9*12,ROW()-4,NA())</f>
        <v>#N/A</v>
      </c>
      <c r="B424" s="10" t="e">
        <f t="shared" ca="1" si="12"/>
        <v>#N/A</v>
      </c>
      <c r="C424" s="13" t="e">
        <f>IFERROR(Simulador!$B$7*(1+Simulador!$B$12)^INT((A424-1)/12),NA())</f>
        <v>#N/A</v>
      </c>
      <c r="D424" s="13" t="e">
        <f t="shared" si="13"/>
        <v>#N/A</v>
      </c>
      <c r="E424" s="13" t="e">
        <f>IFERROR(E423*(1+Simulador!$G$12)+C424,NA())</f>
        <v>#N/A</v>
      </c>
      <c r="F424" s="13" t="e">
        <f>IFERROR(E424*Simulador!$B$11/12,NA())</f>
        <v>#N/A</v>
      </c>
    </row>
    <row r="425" spans="1:6" ht="18" customHeight="1">
      <c r="A425" s="1" t="e">
        <f>IF(ROW()-4&lt;=Simulador!$B$9*12,ROW()-4,NA())</f>
        <v>#N/A</v>
      </c>
      <c r="B425" s="10" t="e">
        <f t="shared" ca="1" si="12"/>
        <v>#N/A</v>
      </c>
      <c r="C425" s="13" t="e">
        <f>IFERROR(Simulador!$B$7*(1+Simulador!$B$12)^INT((A425-1)/12),NA())</f>
        <v>#N/A</v>
      </c>
      <c r="D425" s="13" t="e">
        <f t="shared" si="13"/>
        <v>#N/A</v>
      </c>
      <c r="E425" s="13" t="e">
        <f>IFERROR(E424*(1+Simulador!$G$12)+C425,NA())</f>
        <v>#N/A</v>
      </c>
      <c r="F425" s="13" t="e">
        <f>IFERROR(E425*Simulador!$B$11/12,NA())</f>
        <v>#N/A</v>
      </c>
    </row>
    <row r="426" spans="1:6" ht="18" customHeight="1">
      <c r="A426" s="1" t="e">
        <f>IF(ROW()-4&lt;=Simulador!$B$9*12,ROW()-4,NA())</f>
        <v>#N/A</v>
      </c>
      <c r="B426" s="10" t="e">
        <f t="shared" ca="1" si="12"/>
        <v>#N/A</v>
      </c>
      <c r="C426" s="13" t="e">
        <f>IFERROR(Simulador!$B$7*(1+Simulador!$B$12)^INT((A426-1)/12),NA())</f>
        <v>#N/A</v>
      </c>
      <c r="D426" s="13" t="e">
        <f t="shared" si="13"/>
        <v>#N/A</v>
      </c>
      <c r="E426" s="13" t="e">
        <f>IFERROR(E425*(1+Simulador!$G$12)+C426,NA())</f>
        <v>#N/A</v>
      </c>
      <c r="F426" s="13" t="e">
        <f>IFERROR(E426*Simulador!$B$11/12,NA())</f>
        <v>#N/A</v>
      </c>
    </row>
    <row r="427" spans="1:6" ht="18" customHeight="1">
      <c r="A427" s="1" t="e">
        <f>IF(ROW()-4&lt;=Simulador!$B$9*12,ROW()-4,NA())</f>
        <v>#N/A</v>
      </c>
      <c r="B427" s="10" t="e">
        <f t="shared" ca="1" si="12"/>
        <v>#N/A</v>
      </c>
      <c r="C427" s="13" t="e">
        <f>IFERROR(Simulador!$B$7*(1+Simulador!$B$12)^INT((A427-1)/12),NA())</f>
        <v>#N/A</v>
      </c>
      <c r="D427" s="13" t="e">
        <f t="shared" si="13"/>
        <v>#N/A</v>
      </c>
      <c r="E427" s="13" t="e">
        <f>IFERROR(E426*(1+Simulador!$G$12)+C427,NA())</f>
        <v>#N/A</v>
      </c>
      <c r="F427" s="13" t="e">
        <f>IFERROR(E427*Simulador!$B$11/12,NA())</f>
        <v>#N/A</v>
      </c>
    </row>
    <row r="428" spans="1:6" ht="18" customHeight="1">
      <c r="A428" s="1" t="e">
        <f>IF(ROW()-4&lt;=Simulador!$B$9*12,ROW()-4,NA())</f>
        <v>#N/A</v>
      </c>
      <c r="B428" s="10" t="e">
        <f t="shared" ca="1" si="12"/>
        <v>#N/A</v>
      </c>
      <c r="C428" s="13" t="e">
        <f>IFERROR(Simulador!$B$7*(1+Simulador!$B$12)^INT((A428-1)/12),NA())</f>
        <v>#N/A</v>
      </c>
      <c r="D428" s="13" t="e">
        <f t="shared" si="13"/>
        <v>#N/A</v>
      </c>
      <c r="E428" s="13" t="e">
        <f>IFERROR(E427*(1+Simulador!$G$12)+C428,NA())</f>
        <v>#N/A</v>
      </c>
      <c r="F428" s="13" t="e">
        <f>IFERROR(E428*Simulador!$B$11/12,NA())</f>
        <v>#N/A</v>
      </c>
    </row>
    <row r="429" spans="1:6" ht="18" customHeight="1">
      <c r="A429" s="1" t="e">
        <f>IF(ROW()-4&lt;=Simulador!$B$9*12,ROW()-4,NA())</f>
        <v>#N/A</v>
      </c>
      <c r="B429" s="10" t="e">
        <f t="shared" ca="1" si="12"/>
        <v>#N/A</v>
      </c>
      <c r="C429" s="13" t="e">
        <f>IFERROR(Simulador!$B$7*(1+Simulador!$B$12)^INT((A429-1)/12),NA())</f>
        <v>#N/A</v>
      </c>
      <c r="D429" s="13" t="e">
        <f t="shared" si="13"/>
        <v>#N/A</v>
      </c>
      <c r="E429" s="13" t="e">
        <f>IFERROR(E428*(1+Simulador!$G$12)+C429,NA())</f>
        <v>#N/A</v>
      </c>
      <c r="F429" s="13" t="e">
        <f>IFERROR(E429*Simulador!$B$11/12,NA())</f>
        <v>#N/A</v>
      </c>
    </row>
    <row r="430" spans="1:6" ht="18" customHeight="1">
      <c r="A430" s="1" t="e">
        <f>IF(ROW()-4&lt;=Simulador!$B$9*12,ROW()-4,NA())</f>
        <v>#N/A</v>
      </c>
      <c r="B430" s="10" t="e">
        <f t="shared" ca="1" si="12"/>
        <v>#N/A</v>
      </c>
      <c r="C430" s="13" t="e">
        <f>IFERROR(Simulador!$B$7*(1+Simulador!$B$12)^INT((A430-1)/12),NA())</f>
        <v>#N/A</v>
      </c>
      <c r="D430" s="13" t="e">
        <f t="shared" si="13"/>
        <v>#N/A</v>
      </c>
      <c r="E430" s="13" t="e">
        <f>IFERROR(E429*(1+Simulador!$G$12)+C430,NA())</f>
        <v>#N/A</v>
      </c>
      <c r="F430" s="13" t="e">
        <f>IFERROR(E430*Simulador!$B$11/12,NA())</f>
        <v>#N/A</v>
      </c>
    </row>
    <row r="431" spans="1:6" ht="18" customHeight="1">
      <c r="A431" s="1" t="e">
        <f>IF(ROW()-4&lt;=Simulador!$B$9*12,ROW()-4,NA())</f>
        <v>#N/A</v>
      </c>
      <c r="B431" s="10" t="e">
        <f t="shared" ca="1" si="12"/>
        <v>#N/A</v>
      </c>
      <c r="C431" s="13" t="e">
        <f>IFERROR(Simulador!$B$7*(1+Simulador!$B$12)^INT((A431-1)/12),NA())</f>
        <v>#N/A</v>
      </c>
      <c r="D431" s="13" t="e">
        <f t="shared" si="13"/>
        <v>#N/A</v>
      </c>
      <c r="E431" s="13" t="e">
        <f>IFERROR(E430*(1+Simulador!$G$12)+C431,NA())</f>
        <v>#N/A</v>
      </c>
      <c r="F431" s="13" t="e">
        <f>IFERROR(E431*Simulador!$B$11/12,NA())</f>
        <v>#N/A</v>
      </c>
    </row>
    <row r="432" spans="1:6" ht="18" customHeight="1">
      <c r="A432" s="1" t="e">
        <f>IF(ROW()-4&lt;=Simulador!$B$9*12,ROW()-4,NA())</f>
        <v>#N/A</v>
      </c>
      <c r="B432" s="10" t="e">
        <f t="shared" ca="1" si="12"/>
        <v>#N/A</v>
      </c>
      <c r="C432" s="13" t="e">
        <f>IFERROR(Simulador!$B$7*(1+Simulador!$B$12)^INT((A432-1)/12),NA())</f>
        <v>#N/A</v>
      </c>
      <c r="D432" s="13" t="e">
        <f t="shared" si="13"/>
        <v>#N/A</v>
      </c>
      <c r="E432" s="13" t="e">
        <f>IFERROR(E431*(1+Simulador!$G$12)+C432,NA())</f>
        <v>#N/A</v>
      </c>
      <c r="F432" s="13" t="e">
        <f>IFERROR(E432*Simulador!$B$11/12,NA())</f>
        <v>#N/A</v>
      </c>
    </row>
    <row r="433" spans="1:6" ht="18" customHeight="1">
      <c r="A433" s="1" t="e">
        <f>IF(ROW()-4&lt;=Simulador!$B$9*12,ROW()-4,NA())</f>
        <v>#N/A</v>
      </c>
      <c r="B433" s="10" t="e">
        <f t="shared" ca="1" si="12"/>
        <v>#N/A</v>
      </c>
      <c r="C433" s="13" t="e">
        <f>IFERROR(Simulador!$B$7*(1+Simulador!$B$12)^INT((A433-1)/12),NA())</f>
        <v>#N/A</v>
      </c>
      <c r="D433" s="13" t="e">
        <f t="shared" si="13"/>
        <v>#N/A</v>
      </c>
      <c r="E433" s="13" t="e">
        <f>IFERROR(E432*(1+Simulador!$G$12)+C433,NA())</f>
        <v>#N/A</v>
      </c>
      <c r="F433" s="13" t="e">
        <f>IFERROR(E433*Simulador!$B$11/12,NA())</f>
        <v>#N/A</v>
      </c>
    </row>
    <row r="434" spans="1:6" ht="18" customHeight="1">
      <c r="A434" s="1" t="e">
        <f>IF(ROW()-4&lt;=Simulador!$B$9*12,ROW()-4,NA())</f>
        <v>#N/A</v>
      </c>
      <c r="B434" s="10" t="e">
        <f t="shared" ca="1" si="12"/>
        <v>#N/A</v>
      </c>
      <c r="C434" s="13" t="e">
        <f>IFERROR(Simulador!$B$7*(1+Simulador!$B$12)^INT((A434-1)/12),NA())</f>
        <v>#N/A</v>
      </c>
      <c r="D434" s="13" t="e">
        <f t="shared" si="13"/>
        <v>#N/A</v>
      </c>
      <c r="E434" s="13" t="e">
        <f>IFERROR(E433*(1+Simulador!$G$12)+C434,NA())</f>
        <v>#N/A</v>
      </c>
      <c r="F434" s="13" t="e">
        <f>IFERROR(E434*Simulador!$B$11/12,NA())</f>
        <v>#N/A</v>
      </c>
    </row>
    <row r="435" spans="1:6" ht="18" customHeight="1">
      <c r="A435" s="1" t="e">
        <f>IF(ROW()-4&lt;=Simulador!$B$9*12,ROW()-4,NA())</f>
        <v>#N/A</v>
      </c>
      <c r="B435" s="10" t="e">
        <f t="shared" ca="1" si="12"/>
        <v>#N/A</v>
      </c>
      <c r="C435" s="13" t="e">
        <f>IFERROR(Simulador!$B$7*(1+Simulador!$B$12)^INT((A435-1)/12),NA())</f>
        <v>#N/A</v>
      </c>
      <c r="D435" s="13" t="e">
        <f t="shared" si="13"/>
        <v>#N/A</v>
      </c>
      <c r="E435" s="13" t="e">
        <f>IFERROR(E434*(1+Simulador!$G$12)+C435,NA())</f>
        <v>#N/A</v>
      </c>
      <c r="F435" s="13" t="e">
        <f>IFERROR(E435*Simulador!$B$11/12,NA())</f>
        <v>#N/A</v>
      </c>
    </row>
    <row r="436" spans="1:6" ht="18" customHeight="1">
      <c r="A436" s="1" t="e">
        <f>IF(ROW()-4&lt;=Simulador!$B$9*12,ROW()-4,NA())</f>
        <v>#N/A</v>
      </c>
      <c r="B436" s="10" t="e">
        <f t="shared" ca="1" si="12"/>
        <v>#N/A</v>
      </c>
      <c r="C436" s="13" t="e">
        <f>IFERROR(Simulador!$B$7*(1+Simulador!$B$12)^INT((A436-1)/12),NA())</f>
        <v>#N/A</v>
      </c>
      <c r="D436" s="13" t="e">
        <f t="shared" si="13"/>
        <v>#N/A</v>
      </c>
      <c r="E436" s="13" t="e">
        <f>IFERROR(E435*(1+Simulador!$G$12)+C436,NA())</f>
        <v>#N/A</v>
      </c>
      <c r="F436" s="13" t="e">
        <f>IFERROR(E436*Simulador!$B$11/12,NA())</f>
        <v>#N/A</v>
      </c>
    </row>
    <row r="437" spans="1:6" ht="18" customHeight="1">
      <c r="A437" s="1" t="e">
        <f>IF(ROW()-4&lt;=Simulador!$B$9*12,ROW()-4,NA())</f>
        <v>#N/A</v>
      </c>
      <c r="B437" s="10" t="e">
        <f t="shared" ca="1" si="12"/>
        <v>#N/A</v>
      </c>
      <c r="C437" s="13" t="e">
        <f>IFERROR(Simulador!$B$7*(1+Simulador!$B$12)^INT((A437-1)/12),NA())</f>
        <v>#N/A</v>
      </c>
      <c r="D437" s="13" t="e">
        <f t="shared" si="13"/>
        <v>#N/A</v>
      </c>
      <c r="E437" s="13" t="e">
        <f>IFERROR(E436*(1+Simulador!$G$12)+C437,NA())</f>
        <v>#N/A</v>
      </c>
      <c r="F437" s="13" t="e">
        <f>IFERROR(E437*Simulador!$B$11/12,NA())</f>
        <v>#N/A</v>
      </c>
    </row>
    <row r="438" spans="1:6" ht="18" customHeight="1">
      <c r="A438" s="1" t="e">
        <f>IF(ROW()-4&lt;=Simulador!$B$9*12,ROW()-4,NA())</f>
        <v>#N/A</v>
      </c>
      <c r="B438" s="10" t="e">
        <f t="shared" ca="1" si="12"/>
        <v>#N/A</v>
      </c>
      <c r="C438" s="13" t="e">
        <f>IFERROR(Simulador!$B$7*(1+Simulador!$B$12)^INT((A438-1)/12),NA())</f>
        <v>#N/A</v>
      </c>
      <c r="D438" s="13" t="e">
        <f t="shared" si="13"/>
        <v>#N/A</v>
      </c>
      <c r="E438" s="13" t="e">
        <f>IFERROR(E437*(1+Simulador!$G$12)+C438,NA())</f>
        <v>#N/A</v>
      </c>
      <c r="F438" s="13" t="e">
        <f>IFERROR(E438*Simulador!$B$11/12,NA())</f>
        <v>#N/A</v>
      </c>
    </row>
    <row r="439" spans="1:6" ht="18" customHeight="1">
      <c r="A439" s="1" t="e">
        <f>IF(ROW()-4&lt;=Simulador!$B$9*12,ROW()-4,NA())</f>
        <v>#N/A</v>
      </c>
      <c r="B439" s="10" t="e">
        <f t="shared" ca="1" si="12"/>
        <v>#N/A</v>
      </c>
      <c r="C439" s="13" t="e">
        <f>IFERROR(Simulador!$B$7*(1+Simulador!$B$12)^INT((A439-1)/12),NA())</f>
        <v>#N/A</v>
      </c>
      <c r="D439" s="13" t="e">
        <f t="shared" si="13"/>
        <v>#N/A</v>
      </c>
      <c r="E439" s="13" t="e">
        <f>IFERROR(E438*(1+Simulador!$G$12)+C439,NA())</f>
        <v>#N/A</v>
      </c>
      <c r="F439" s="13" t="e">
        <f>IFERROR(E439*Simulador!$B$11/12,NA())</f>
        <v>#N/A</v>
      </c>
    </row>
    <row r="440" spans="1:6" ht="18" customHeight="1">
      <c r="A440" s="1" t="e">
        <f>IF(ROW()-4&lt;=Simulador!$B$9*12,ROW()-4,NA())</f>
        <v>#N/A</v>
      </c>
      <c r="B440" s="10" t="e">
        <f t="shared" ca="1" si="12"/>
        <v>#N/A</v>
      </c>
      <c r="C440" s="13" t="e">
        <f>IFERROR(Simulador!$B$7*(1+Simulador!$B$12)^INT((A440-1)/12),NA())</f>
        <v>#N/A</v>
      </c>
      <c r="D440" s="13" t="e">
        <f t="shared" si="13"/>
        <v>#N/A</v>
      </c>
      <c r="E440" s="13" t="e">
        <f>IFERROR(E439*(1+Simulador!$G$12)+C440,NA())</f>
        <v>#N/A</v>
      </c>
      <c r="F440" s="13" t="e">
        <f>IFERROR(E440*Simulador!$B$11/12,NA())</f>
        <v>#N/A</v>
      </c>
    </row>
    <row r="441" spans="1:6" ht="18" customHeight="1">
      <c r="A441" s="1" t="e">
        <f>IF(ROW()-4&lt;=Simulador!$B$9*12,ROW()-4,NA())</f>
        <v>#N/A</v>
      </c>
      <c r="B441" s="10" t="e">
        <f t="shared" ca="1" si="12"/>
        <v>#N/A</v>
      </c>
      <c r="C441" s="13" t="e">
        <f>IFERROR(Simulador!$B$7*(1+Simulador!$B$12)^INT((A441-1)/12),NA())</f>
        <v>#N/A</v>
      </c>
      <c r="D441" s="13" t="e">
        <f t="shared" si="13"/>
        <v>#N/A</v>
      </c>
      <c r="E441" s="13" t="e">
        <f>IFERROR(E440*(1+Simulador!$G$12)+C441,NA())</f>
        <v>#N/A</v>
      </c>
      <c r="F441" s="13" t="e">
        <f>IFERROR(E441*Simulador!$B$11/12,NA())</f>
        <v>#N/A</v>
      </c>
    </row>
    <row r="442" spans="1:6" ht="18" customHeight="1">
      <c r="A442" s="1" t="e">
        <f>IF(ROW()-4&lt;=Simulador!$B$9*12,ROW()-4,NA())</f>
        <v>#N/A</v>
      </c>
      <c r="B442" s="10" t="e">
        <f t="shared" ca="1" si="12"/>
        <v>#N/A</v>
      </c>
      <c r="C442" s="13" t="e">
        <f>IFERROR(Simulador!$B$7*(1+Simulador!$B$12)^INT((A442-1)/12),NA())</f>
        <v>#N/A</v>
      </c>
      <c r="D442" s="13" t="e">
        <f t="shared" si="13"/>
        <v>#N/A</v>
      </c>
      <c r="E442" s="13" t="e">
        <f>IFERROR(E441*(1+Simulador!$G$12)+C442,NA())</f>
        <v>#N/A</v>
      </c>
      <c r="F442" s="13" t="e">
        <f>IFERROR(E442*Simulador!$B$11/12,NA())</f>
        <v>#N/A</v>
      </c>
    </row>
    <row r="443" spans="1:6" ht="18" customHeight="1">
      <c r="A443" s="1" t="e">
        <f>IF(ROW()-4&lt;=Simulador!$B$9*12,ROW()-4,NA())</f>
        <v>#N/A</v>
      </c>
      <c r="B443" s="10" t="e">
        <f t="shared" ca="1" si="12"/>
        <v>#N/A</v>
      </c>
      <c r="C443" s="13" t="e">
        <f>IFERROR(Simulador!$B$7*(1+Simulador!$B$12)^INT((A443-1)/12),NA())</f>
        <v>#N/A</v>
      </c>
      <c r="D443" s="13" t="e">
        <f t="shared" si="13"/>
        <v>#N/A</v>
      </c>
      <c r="E443" s="13" t="e">
        <f>IFERROR(E442*(1+Simulador!$G$12)+C443,NA())</f>
        <v>#N/A</v>
      </c>
      <c r="F443" s="13" t="e">
        <f>IFERROR(E443*Simulador!$B$11/12,NA())</f>
        <v>#N/A</v>
      </c>
    </row>
    <row r="444" spans="1:6" ht="18" customHeight="1">
      <c r="A444" s="1" t="e">
        <f>IF(ROW()-4&lt;=Simulador!$B$9*12,ROW()-4,NA())</f>
        <v>#N/A</v>
      </c>
      <c r="B444" s="10" t="e">
        <f t="shared" ca="1" si="12"/>
        <v>#N/A</v>
      </c>
      <c r="C444" s="13" t="e">
        <f>IFERROR(Simulador!$B$7*(1+Simulador!$B$12)^INT((A444-1)/12),NA())</f>
        <v>#N/A</v>
      </c>
      <c r="D444" s="13" t="e">
        <f t="shared" si="13"/>
        <v>#N/A</v>
      </c>
      <c r="E444" s="13" t="e">
        <f>IFERROR(E443*(1+Simulador!$G$12)+C444,NA())</f>
        <v>#N/A</v>
      </c>
      <c r="F444" s="13" t="e">
        <f>IFERROR(E444*Simulador!$B$11/12,NA())</f>
        <v>#N/A</v>
      </c>
    </row>
    <row r="445" spans="1:6" ht="18" customHeight="1">
      <c r="A445" s="1" t="e">
        <f>IF(ROW()-4&lt;=Simulador!$B$9*12,ROW()-4,NA())</f>
        <v>#N/A</v>
      </c>
      <c r="B445" s="10" t="e">
        <f t="shared" ca="1" si="12"/>
        <v>#N/A</v>
      </c>
      <c r="C445" s="13" t="e">
        <f>IFERROR(Simulador!$B$7*(1+Simulador!$B$12)^INT((A445-1)/12),NA())</f>
        <v>#N/A</v>
      </c>
      <c r="D445" s="13" t="e">
        <f t="shared" si="13"/>
        <v>#N/A</v>
      </c>
      <c r="E445" s="13" t="e">
        <f>IFERROR(E444*(1+Simulador!$G$12)+C445,NA())</f>
        <v>#N/A</v>
      </c>
      <c r="F445" s="13" t="e">
        <f>IFERROR(E445*Simulador!$B$11/12,NA())</f>
        <v>#N/A</v>
      </c>
    </row>
    <row r="446" spans="1:6" ht="18" customHeight="1">
      <c r="A446" s="1" t="e">
        <f>IF(ROW()-4&lt;=Simulador!$B$9*12,ROW()-4,NA())</f>
        <v>#N/A</v>
      </c>
      <c r="B446" s="10" t="e">
        <f t="shared" ca="1" si="12"/>
        <v>#N/A</v>
      </c>
      <c r="C446" s="13" t="e">
        <f>IFERROR(Simulador!$B$7*(1+Simulador!$B$12)^INT((A446-1)/12),NA())</f>
        <v>#N/A</v>
      </c>
      <c r="D446" s="13" t="e">
        <f t="shared" si="13"/>
        <v>#N/A</v>
      </c>
      <c r="E446" s="13" t="e">
        <f>IFERROR(E445*(1+Simulador!$G$12)+C446,NA())</f>
        <v>#N/A</v>
      </c>
      <c r="F446" s="13" t="e">
        <f>IFERROR(E446*Simulador!$B$11/12,NA())</f>
        <v>#N/A</v>
      </c>
    </row>
    <row r="447" spans="1:6" ht="18" customHeight="1">
      <c r="A447" s="1" t="e">
        <f>IF(ROW()-4&lt;=Simulador!$B$9*12,ROW()-4,NA())</f>
        <v>#N/A</v>
      </c>
      <c r="B447" s="10" t="e">
        <f t="shared" ca="1" si="12"/>
        <v>#N/A</v>
      </c>
      <c r="C447" s="13" t="e">
        <f>IFERROR(Simulador!$B$7*(1+Simulador!$B$12)^INT((A447-1)/12),NA())</f>
        <v>#N/A</v>
      </c>
      <c r="D447" s="13" t="e">
        <f t="shared" si="13"/>
        <v>#N/A</v>
      </c>
      <c r="E447" s="13" t="e">
        <f>IFERROR(E446*(1+Simulador!$G$12)+C447,NA())</f>
        <v>#N/A</v>
      </c>
      <c r="F447" s="13" t="e">
        <f>IFERROR(E447*Simulador!$B$11/12,NA())</f>
        <v>#N/A</v>
      </c>
    </row>
    <row r="448" spans="1:6" ht="18" customHeight="1">
      <c r="A448" s="1" t="e">
        <f>IF(ROW()-4&lt;=Simulador!$B$9*12,ROW()-4,NA())</f>
        <v>#N/A</v>
      </c>
      <c r="B448" s="10" t="e">
        <f t="shared" ca="1" si="12"/>
        <v>#N/A</v>
      </c>
      <c r="C448" s="13" t="e">
        <f>IFERROR(Simulador!$B$7*(1+Simulador!$B$12)^INT((A448-1)/12),NA())</f>
        <v>#N/A</v>
      </c>
      <c r="D448" s="13" t="e">
        <f t="shared" si="13"/>
        <v>#N/A</v>
      </c>
      <c r="E448" s="13" t="e">
        <f>IFERROR(E447*(1+Simulador!$G$12)+C448,NA())</f>
        <v>#N/A</v>
      </c>
      <c r="F448" s="13" t="e">
        <f>IFERROR(E448*Simulador!$B$11/12,NA())</f>
        <v>#N/A</v>
      </c>
    </row>
    <row r="449" spans="1:6" ht="18" customHeight="1">
      <c r="A449" s="1" t="e">
        <f>IF(ROW()-4&lt;=Simulador!$B$9*12,ROW()-4,NA())</f>
        <v>#N/A</v>
      </c>
      <c r="B449" s="10" t="e">
        <f t="shared" ca="1" si="12"/>
        <v>#N/A</v>
      </c>
      <c r="C449" s="13" t="e">
        <f>IFERROR(Simulador!$B$7*(1+Simulador!$B$12)^INT((A449-1)/12),NA())</f>
        <v>#N/A</v>
      </c>
      <c r="D449" s="13" t="e">
        <f t="shared" si="13"/>
        <v>#N/A</v>
      </c>
      <c r="E449" s="13" t="e">
        <f>IFERROR(E448*(1+Simulador!$G$12)+C449,NA())</f>
        <v>#N/A</v>
      </c>
      <c r="F449" s="13" t="e">
        <f>IFERROR(E449*Simulador!$B$11/12,NA())</f>
        <v>#N/A</v>
      </c>
    </row>
    <row r="450" spans="1:6" ht="18" customHeight="1">
      <c r="A450" s="1" t="e">
        <f>IF(ROW()-4&lt;=Simulador!$B$9*12,ROW()-4,NA())</f>
        <v>#N/A</v>
      </c>
      <c r="B450" s="10" t="e">
        <f t="shared" ca="1" si="12"/>
        <v>#N/A</v>
      </c>
      <c r="C450" s="13" t="e">
        <f>IFERROR(Simulador!$B$7*(1+Simulador!$B$12)^INT((A450-1)/12),NA())</f>
        <v>#N/A</v>
      </c>
      <c r="D450" s="13" t="e">
        <f t="shared" si="13"/>
        <v>#N/A</v>
      </c>
      <c r="E450" s="13" t="e">
        <f>IFERROR(E449*(1+Simulador!$G$12)+C450,NA())</f>
        <v>#N/A</v>
      </c>
      <c r="F450" s="13" t="e">
        <f>IFERROR(E450*Simulador!$B$11/12,NA())</f>
        <v>#N/A</v>
      </c>
    </row>
    <row r="451" spans="1:6" ht="18" customHeight="1">
      <c r="A451" s="1" t="e">
        <f>IF(ROW()-4&lt;=Simulador!$B$9*12,ROW()-4,NA())</f>
        <v>#N/A</v>
      </c>
      <c r="B451" s="10" t="e">
        <f t="shared" ca="1" si="12"/>
        <v>#N/A</v>
      </c>
      <c r="C451" s="13" t="e">
        <f>IFERROR(Simulador!$B$7*(1+Simulador!$B$12)^INT((A451-1)/12),NA())</f>
        <v>#N/A</v>
      </c>
      <c r="D451" s="13" t="e">
        <f t="shared" si="13"/>
        <v>#N/A</v>
      </c>
      <c r="E451" s="13" t="e">
        <f>IFERROR(E450*(1+Simulador!$G$12)+C451,NA())</f>
        <v>#N/A</v>
      </c>
      <c r="F451" s="13" t="e">
        <f>IFERROR(E451*Simulador!$B$11/12,NA())</f>
        <v>#N/A</v>
      </c>
    </row>
    <row r="452" spans="1:6" ht="18" customHeight="1">
      <c r="A452" s="1" t="e">
        <f>IF(ROW()-4&lt;=Simulador!$B$9*12,ROW()-4,NA())</f>
        <v>#N/A</v>
      </c>
      <c r="B452" s="10" t="e">
        <f t="shared" ca="1" si="12"/>
        <v>#N/A</v>
      </c>
      <c r="C452" s="13" t="e">
        <f>IFERROR(Simulador!$B$7*(1+Simulador!$B$12)^INT((A452-1)/12),NA())</f>
        <v>#N/A</v>
      </c>
      <c r="D452" s="13" t="e">
        <f t="shared" si="13"/>
        <v>#N/A</v>
      </c>
      <c r="E452" s="13" t="e">
        <f>IFERROR(E451*(1+Simulador!$G$12)+C452,NA())</f>
        <v>#N/A</v>
      </c>
      <c r="F452" s="13" t="e">
        <f>IFERROR(E452*Simulador!$B$11/12,NA())</f>
        <v>#N/A</v>
      </c>
    </row>
    <row r="453" spans="1:6" ht="18" customHeight="1">
      <c r="A453" s="1" t="e">
        <f>IF(ROW()-4&lt;=Simulador!$B$9*12,ROW()-4,NA())</f>
        <v>#N/A</v>
      </c>
      <c r="B453" s="10" t="e">
        <f t="shared" ca="1" si="12"/>
        <v>#N/A</v>
      </c>
      <c r="C453" s="13" t="e">
        <f>IFERROR(Simulador!$B$7*(1+Simulador!$B$12)^INT((A453-1)/12),NA())</f>
        <v>#N/A</v>
      </c>
      <c r="D453" s="13" t="e">
        <f t="shared" si="13"/>
        <v>#N/A</v>
      </c>
      <c r="E453" s="13" t="e">
        <f>IFERROR(E452*(1+Simulador!$G$12)+C453,NA())</f>
        <v>#N/A</v>
      </c>
      <c r="F453" s="13" t="e">
        <f>IFERROR(E453*Simulador!$B$11/12,NA())</f>
        <v>#N/A</v>
      </c>
    </row>
    <row r="454" spans="1:6" ht="18" customHeight="1">
      <c r="A454" s="1" t="e">
        <f>IF(ROW()-4&lt;=Simulador!$B$9*12,ROW()-4,NA())</f>
        <v>#N/A</v>
      </c>
      <c r="B454" s="10" t="e">
        <f t="shared" ref="B454:B484" ca="1" si="14">IFERROR(EDATE($B$4,A454),NA())</f>
        <v>#N/A</v>
      </c>
      <c r="C454" s="13" t="e">
        <f>IFERROR(Simulador!$B$7*(1+Simulador!$B$12)^INT((A454-1)/12),NA())</f>
        <v>#N/A</v>
      </c>
      <c r="D454" s="13" t="e">
        <f t="shared" ref="D454:D484" si="15">IFERROR(D453+C454,NA())</f>
        <v>#N/A</v>
      </c>
      <c r="E454" s="13" t="e">
        <f>IFERROR(E453*(1+Simulador!$G$12)+C454,NA())</f>
        <v>#N/A</v>
      </c>
      <c r="F454" s="13" t="e">
        <f>IFERROR(E454*Simulador!$B$11/12,NA())</f>
        <v>#N/A</v>
      </c>
    </row>
    <row r="455" spans="1:6" ht="18" customHeight="1">
      <c r="A455" s="1" t="e">
        <f>IF(ROW()-4&lt;=Simulador!$B$9*12,ROW()-4,NA())</f>
        <v>#N/A</v>
      </c>
      <c r="B455" s="10" t="e">
        <f t="shared" ca="1" si="14"/>
        <v>#N/A</v>
      </c>
      <c r="C455" s="13" t="e">
        <f>IFERROR(Simulador!$B$7*(1+Simulador!$B$12)^INT((A455-1)/12),NA())</f>
        <v>#N/A</v>
      </c>
      <c r="D455" s="13" t="e">
        <f t="shared" si="15"/>
        <v>#N/A</v>
      </c>
      <c r="E455" s="13" t="e">
        <f>IFERROR(E454*(1+Simulador!$G$12)+C455,NA())</f>
        <v>#N/A</v>
      </c>
      <c r="F455" s="13" t="e">
        <f>IFERROR(E455*Simulador!$B$11/12,NA())</f>
        <v>#N/A</v>
      </c>
    </row>
    <row r="456" spans="1:6" ht="18" customHeight="1">
      <c r="A456" s="1" t="e">
        <f>IF(ROW()-4&lt;=Simulador!$B$9*12,ROW()-4,NA())</f>
        <v>#N/A</v>
      </c>
      <c r="B456" s="10" t="e">
        <f t="shared" ca="1" si="14"/>
        <v>#N/A</v>
      </c>
      <c r="C456" s="13" t="e">
        <f>IFERROR(Simulador!$B$7*(1+Simulador!$B$12)^INT((A456-1)/12),NA())</f>
        <v>#N/A</v>
      </c>
      <c r="D456" s="13" t="e">
        <f t="shared" si="15"/>
        <v>#N/A</v>
      </c>
      <c r="E456" s="13" t="e">
        <f>IFERROR(E455*(1+Simulador!$G$12)+C456,NA())</f>
        <v>#N/A</v>
      </c>
      <c r="F456" s="13" t="e">
        <f>IFERROR(E456*Simulador!$B$11/12,NA())</f>
        <v>#N/A</v>
      </c>
    </row>
    <row r="457" spans="1:6" ht="18" customHeight="1">
      <c r="A457" s="1" t="e">
        <f>IF(ROW()-4&lt;=Simulador!$B$9*12,ROW()-4,NA())</f>
        <v>#N/A</v>
      </c>
      <c r="B457" s="10" t="e">
        <f t="shared" ca="1" si="14"/>
        <v>#N/A</v>
      </c>
      <c r="C457" s="13" t="e">
        <f>IFERROR(Simulador!$B$7*(1+Simulador!$B$12)^INT((A457-1)/12),NA())</f>
        <v>#N/A</v>
      </c>
      <c r="D457" s="13" t="e">
        <f t="shared" si="15"/>
        <v>#N/A</v>
      </c>
      <c r="E457" s="13" t="e">
        <f>IFERROR(E456*(1+Simulador!$G$12)+C457,NA())</f>
        <v>#N/A</v>
      </c>
      <c r="F457" s="13" t="e">
        <f>IFERROR(E457*Simulador!$B$11/12,NA())</f>
        <v>#N/A</v>
      </c>
    </row>
    <row r="458" spans="1:6" ht="18" customHeight="1">
      <c r="A458" s="1" t="e">
        <f>IF(ROW()-4&lt;=Simulador!$B$9*12,ROW()-4,NA())</f>
        <v>#N/A</v>
      </c>
      <c r="B458" s="10" t="e">
        <f t="shared" ca="1" si="14"/>
        <v>#N/A</v>
      </c>
      <c r="C458" s="13" t="e">
        <f>IFERROR(Simulador!$B$7*(1+Simulador!$B$12)^INT((A458-1)/12),NA())</f>
        <v>#N/A</v>
      </c>
      <c r="D458" s="13" t="e">
        <f t="shared" si="15"/>
        <v>#N/A</v>
      </c>
      <c r="E458" s="13" t="e">
        <f>IFERROR(E457*(1+Simulador!$G$12)+C458,NA())</f>
        <v>#N/A</v>
      </c>
      <c r="F458" s="13" t="e">
        <f>IFERROR(E458*Simulador!$B$11/12,NA())</f>
        <v>#N/A</v>
      </c>
    </row>
    <row r="459" spans="1:6" ht="18" customHeight="1">
      <c r="A459" s="1" t="e">
        <f>IF(ROW()-4&lt;=Simulador!$B$9*12,ROW()-4,NA())</f>
        <v>#N/A</v>
      </c>
      <c r="B459" s="10" t="e">
        <f t="shared" ca="1" si="14"/>
        <v>#N/A</v>
      </c>
      <c r="C459" s="13" t="e">
        <f>IFERROR(Simulador!$B$7*(1+Simulador!$B$12)^INT((A459-1)/12),NA())</f>
        <v>#N/A</v>
      </c>
      <c r="D459" s="13" t="e">
        <f t="shared" si="15"/>
        <v>#N/A</v>
      </c>
      <c r="E459" s="13" t="e">
        <f>IFERROR(E458*(1+Simulador!$G$12)+C459,NA())</f>
        <v>#N/A</v>
      </c>
      <c r="F459" s="13" t="e">
        <f>IFERROR(E459*Simulador!$B$11/12,NA())</f>
        <v>#N/A</v>
      </c>
    </row>
    <row r="460" spans="1:6" ht="18" customHeight="1">
      <c r="A460" s="1" t="e">
        <f>IF(ROW()-4&lt;=Simulador!$B$9*12,ROW()-4,NA())</f>
        <v>#N/A</v>
      </c>
      <c r="B460" s="10" t="e">
        <f t="shared" ca="1" si="14"/>
        <v>#N/A</v>
      </c>
      <c r="C460" s="13" t="e">
        <f>IFERROR(Simulador!$B$7*(1+Simulador!$B$12)^INT((A460-1)/12),NA())</f>
        <v>#N/A</v>
      </c>
      <c r="D460" s="13" t="e">
        <f t="shared" si="15"/>
        <v>#N/A</v>
      </c>
      <c r="E460" s="13" t="e">
        <f>IFERROR(E459*(1+Simulador!$G$12)+C460,NA())</f>
        <v>#N/A</v>
      </c>
      <c r="F460" s="13" t="e">
        <f>IFERROR(E460*Simulador!$B$11/12,NA())</f>
        <v>#N/A</v>
      </c>
    </row>
    <row r="461" spans="1:6" ht="18" customHeight="1">
      <c r="A461" s="1" t="e">
        <f>IF(ROW()-4&lt;=Simulador!$B$9*12,ROW()-4,NA())</f>
        <v>#N/A</v>
      </c>
      <c r="B461" s="10" t="e">
        <f t="shared" ca="1" si="14"/>
        <v>#N/A</v>
      </c>
      <c r="C461" s="13" t="e">
        <f>IFERROR(Simulador!$B$7*(1+Simulador!$B$12)^INT((A461-1)/12),NA())</f>
        <v>#N/A</v>
      </c>
      <c r="D461" s="13" t="e">
        <f t="shared" si="15"/>
        <v>#N/A</v>
      </c>
      <c r="E461" s="13" t="e">
        <f>IFERROR(E460*(1+Simulador!$G$12)+C461,NA())</f>
        <v>#N/A</v>
      </c>
      <c r="F461" s="13" t="e">
        <f>IFERROR(E461*Simulador!$B$11/12,NA())</f>
        <v>#N/A</v>
      </c>
    </row>
    <row r="462" spans="1:6" ht="18" customHeight="1">
      <c r="A462" s="1" t="e">
        <f>IF(ROW()-4&lt;=Simulador!$B$9*12,ROW()-4,NA())</f>
        <v>#N/A</v>
      </c>
      <c r="B462" s="10" t="e">
        <f t="shared" ca="1" si="14"/>
        <v>#N/A</v>
      </c>
      <c r="C462" s="13" t="e">
        <f>IFERROR(Simulador!$B$7*(1+Simulador!$B$12)^INT((A462-1)/12),NA())</f>
        <v>#N/A</v>
      </c>
      <c r="D462" s="13" t="e">
        <f t="shared" si="15"/>
        <v>#N/A</v>
      </c>
      <c r="E462" s="13" t="e">
        <f>IFERROR(E461*(1+Simulador!$G$12)+C462,NA())</f>
        <v>#N/A</v>
      </c>
      <c r="F462" s="13" t="e">
        <f>IFERROR(E462*Simulador!$B$11/12,NA())</f>
        <v>#N/A</v>
      </c>
    </row>
    <row r="463" spans="1:6" ht="18" customHeight="1">
      <c r="A463" s="1" t="e">
        <f>IF(ROW()-4&lt;=Simulador!$B$9*12,ROW()-4,NA())</f>
        <v>#N/A</v>
      </c>
      <c r="B463" s="10" t="e">
        <f t="shared" ca="1" si="14"/>
        <v>#N/A</v>
      </c>
      <c r="C463" s="13" t="e">
        <f>IFERROR(Simulador!$B$7*(1+Simulador!$B$12)^INT((A463-1)/12),NA())</f>
        <v>#N/A</v>
      </c>
      <c r="D463" s="13" t="e">
        <f t="shared" si="15"/>
        <v>#N/A</v>
      </c>
      <c r="E463" s="13" t="e">
        <f>IFERROR(E462*(1+Simulador!$G$12)+C463,NA())</f>
        <v>#N/A</v>
      </c>
      <c r="F463" s="13" t="e">
        <f>IFERROR(E463*Simulador!$B$11/12,NA())</f>
        <v>#N/A</v>
      </c>
    </row>
    <row r="464" spans="1:6" ht="18" customHeight="1">
      <c r="A464" s="1" t="e">
        <f>IF(ROW()-4&lt;=Simulador!$B$9*12,ROW()-4,NA())</f>
        <v>#N/A</v>
      </c>
      <c r="B464" s="10" t="e">
        <f t="shared" ca="1" si="14"/>
        <v>#N/A</v>
      </c>
      <c r="C464" s="13" t="e">
        <f>IFERROR(Simulador!$B$7*(1+Simulador!$B$12)^INT((A464-1)/12),NA())</f>
        <v>#N/A</v>
      </c>
      <c r="D464" s="13" t="e">
        <f t="shared" si="15"/>
        <v>#N/A</v>
      </c>
      <c r="E464" s="13" t="e">
        <f>IFERROR(E463*(1+Simulador!$G$12)+C464,NA())</f>
        <v>#N/A</v>
      </c>
      <c r="F464" s="13" t="e">
        <f>IFERROR(E464*Simulador!$B$11/12,NA())</f>
        <v>#N/A</v>
      </c>
    </row>
    <row r="465" spans="1:6" ht="18" customHeight="1">
      <c r="A465" s="1" t="e">
        <f>IF(ROW()-4&lt;=Simulador!$B$9*12,ROW()-4,NA())</f>
        <v>#N/A</v>
      </c>
      <c r="B465" s="10" t="e">
        <f t="shared" ca="1" si="14"/>
        <v>#N/A</v>
      </c>
      <c r="C465" s="13" t="e">
        <f>IFERROR(Simulador!$B$7*(1+Simulador!$B$12)^INT((A465-1)/12),NA())</f>
        <v>#N/A</v>
      </c>
      <c r="D465" s="13" t="e">
        <f t="shared" si="15"/>
        <v>#N/A</v>
      </c>
      <c r="E465" s="13" t="e">
        <f>IFERROR(E464*(1+Simulador!$G$12)+C465,NA())</f>
        <v>#N/A</v>
      </c>
      <c r="F465" s="13" t="e">
        <f>IFERROR(E465*Simulador!$B$11/12,NA())</f>
        <v>#N/A</v>
      </c>
    </row>
    <row r="466" spans="1:6" ht="18" customHeight="1">
      <c r="A466" s="1" t="e">
        <f>IF(ROW()-4&lt;=Simulador!$B$9*12,ROW()-4,NA())</f>
        <v>#N/A</v>
      </c>
      <c r="B466" s="10" t="e">
        <f t="shared" ca="1" si="14"/>
        <v>#N/A</v>
      </c>
      <c r="C466" s="13" t="e">
        <f>IFERROR(Simulador!$B$7*(1+Simulador!$B$12)^INT((A466-1)/12),NA())</f>
        <v>#N/A</v>
      </c>
      <c r="D466" s="13" t="e">
        <f t="shared" si="15"/>
        <v>#N/A</v>
      </c>
      <c r="E466" s="13" t="e">
        <f>IFERROR(E465*(1+Simulador!$G$12)+C466,NA())</f>
        <v>#N/A</v>
      </c>
      <c r="F466" s="13" t="e">
        <f>IFERROR(E466*Simulador!$B$11/12,NA())</f>
        <v>#N/A</v>
      </c>
    </row>
    <row r="467" spans="1:6" ht="18" customHeight="1">
      <c r="A467" s="1" t="e">
        <f>IF(ROW()-4&lt;=Simulador!$B$9*12,ROW()-4,NA())</f>
        <v>#N/A</v>
      </c>
      <c r="B467" s="10" t="e">
        <f t="shared" ca="1" si="14"/>
        <v>#N/A</v>
      </c>
      <c r="C467" s="13" t="e">
        <f>IFERROR(Simulador!$B$7*(1+Simulador!$B$12)^INT((A467-1)/12),NA())</f>
        <v>#N/A</v>
      </c>
      <c r="D467" s="13" t="e">
        <f t="shared" si="15"/>
        <v>#N/A</v>
      </c>
      <c r="E467" s="13" t="e">
        <f>IFERROR(E466*(1+Simulador!$G$12)+C467,NA())</f>
        <v>#N/A</v>
      </c>
      <c r="F467" s="13" t="e">
        <f>IFERROR(E467*Simulador!$B$11/12,NA())</f>
        <v>#N/A</v>
      </c>
    </row>
    <row r="468" spans="1:6" ht="18" customHeight="1">
      <c r="A468" s="1" t="e">
        <f>IF(ROW()-4&lt;=Simulador!$B$9*12,ROW()-4,NA())</f>
        <v>#N/A</v>
      </c>
      <c r="B468" s="10" t="e">
        <f t="shared" ca="1" si="14"/>
        <v>#N/A</v>
      </c>
      <c r="C468" s="13" t="e">
        <f>IFERROR(Simulador!$B$7*(1+Simulador!$B$12)^INT((A468-1)/12),NA())</f>
        <v>#N/A</v>
      </c>
      <c r="D468" s="13" t="e">
        <f t="shared" si="15"/>
        <v>#N/A</v>
      </c>
      <c r="E468" s="13" t="e">
        <f>IFERROR(E467*(1+Simulador!$G$12)+C468,NA())</f>
        <v>#N/A</v>
      </c>
      <c r="F468" s="13" t="e">
        <f>IFERROR(E468*Simulador!$B$11/12,NA())</f>
        <v>#N/A</v>
      </c>
    </row>
    <row r="469" spans="1:6" ht="18" customHeight="1">
      <c r="A469" s="1" t="e">
        <f>IF(ROW()-4&lt;=Simulador!$B$9*12,ROW()-4,NA())</f>
        <v>#N/A</v>
      </c>
      <c r="B469" s="10" t="e">
        <f t="shared" ca="1" si="14"/>
        <v>#N/A</v>
      </c>
      <c r="C469" s="13" t="e">
        <f>IFERROR(Simulador!$B$7*(1+Simulador!$B$12)^INT((A469-1)/12),NA())</f>
        <v>#N/A</v>
      </c>
      <c r="D469" s="13" t="e">
        <f t="shared" si="15"/>
        <v>#N/A</v>
      </c>
      <c r="E469" s="13" t="e">
        <f>IFERROR(E468*(1+Simulador!$G$12)+C469,NA())</f>
        <v>#N/A</v>
      </c>
      <c r="F469" s="13" t="e">
        <f>IFERROR(E469*Simulador!$B$11/12,NA())</f>
        <v>#N/A</v>
      </c>
    </row>
    <row r="470" spans="1:6" ht="18" customHeight="1">
      <c r="A470" s="1" t="e">
        <f>IF(ROW()-4&lt;=Simulador!$B$9*12,ROW()-4,NA())</f>
        <v>#N/A</v>
      </c>
      <c r="B470" s="10" t="e">
        <f t="shared" ca="1" si="14"/>
        <v>#N/A</v>
      </c>
      <c r="C470" s="13" t="e">
        <f>IFERROR(Simulador!$B$7*(1+Simulador!$B$12)^INT((A470-1)/12),NA())</f>
        <v>#N/A</v>
      </c>
      <c r="D470" s="13" t="e">
        <f t="shared" si="15"/>
        <v>#N/A</v>
      </c>
      <c r="E470" s="13" t="e">
        <f>IFERROR(E469*(1+Simulador!$G$12)+C470,NA())</f>
        <v>#N/A</v>
      </c>
      <c r="F470" s="13" t="e">
        <f>IFERROR(E470*Simulador!$B$11/12,NA())</f>
        <v>#N/A</v>
      </c>
    </row>
    <row r="471" spans="1:6" ht="18" customHeight="1">
      <c r="A471" s="1" t="e">
        <f>IF(ROW()-4&lt;=Simulador!$B$9*12,ROW()-4,NA())</f>
        <v>#N/A</v>
      </c>
      <c r="B471" s="10" t="e">
        <f t="shared" ca="1" si="14"/>
        <v>#N/A</v>
      </c>
      <c r="C471" s="13" t="e">
        <f>IFERROR(Simulador!$B$7*(1+Simulador!$B$12)^INT((A471-1)/12),NA())</f>
        <v>#N/A</v>
      </c>
      <c r="D471" s="13" t="e">
        <f t="shared" si="15"/>
        <v>#N/A</v>
      </c>
      <c r="E471" s="13" t="e">
        <f>IFERROR(E470*(1+Simulador!$G$12)+C471,NA())</f>
        <v>#N/A</v>
      </c>
      <c r="F471" s="13" t="e">
        <f>IFERROR(E471*Simulador!$B$11/12,NA())</f>
        <v>#N/A</v>
      </c>
    </row>
    <row r="472" spans="1:6" ht="18" customHeight="1">
      <c r="A472" s="1" t="e">
        <f>IF(ROW()-4&lt;=Simulador!$B$9*12,ROW()-4,NA())</f>
        <v>#N/A</v>
      </c>
      <c r="B472" s="10" t="e">
        <f t="shared" ca="1" si="14"/>
        <v>#N/A</v>
      </c>
      <c r="C472" s="13" t="e">
        <f>IFERROR(Simulador!$B$7*(1+Simulador!$B$12)^INT((A472-1)/12),NA())</f>
        <v>#N/A</v>
      </c>
      <c r="D472" s="13" t="e">
        <f t="shared" si="15"/>
        <v>#N/A</v>
      </c>
      <c r="E472" s="13" t="e">
        <f>IFERROR(E471*(1+Simulador!$G$12)+C472,NA())</f>
        <v>#N/A</v>
      </c>
      <c r="F472" s="13" t="e">
        <f>IFERROR(E472*Simulador!$B$11/12,NA())</f>
        <v>#N/A</v>
      </c>
    </row>
    <row r="473" spans="1:6" ht="18" customHeight="1">
      <c r="A473" s="1" t="e">
        <f>IF(ROW()-4&lt;=Simulador!$B$9*12,ROW()-4,NA())</f>
        <v>#N/A</v>
      </c>
      <c r="B473" s="10" t="e">
        <f t="shared" ca="1" si="14"/>
        <v>#N/A</v>
      </c>
      <c r="C473" s="13" t="e">
        <f>IFERROR(Simulador!$B$7*(1+Simulador!$B$12)^INT((A473-1)/12),NA())</f>
        <v>#N/A</v>
      </c>
      <c r="D473" s="13" t="e">
        <f t="shared" si="15"/>
        <v>#N/A</v>
      </c>
      <c r="E473" s="13" t="e">
        <f>IFERROR(E472*(1+Simulador!$G$12)+C473,NA())</f>
        <v>#N/A</v>
      </c>
      <c r="F473" s="13" t="e">
        <f>IFERROR(E473*Simulador!$B$11/12,NA())</f>
        <v>#N/A</v>
      </c>
    </row>
    <row r="474" spans="1:6" ht="18" customHeight="1">
      <c r="A474" s="1" t="e">
        <f>IF(ROW()-4&lt;=Simulador!$B$9*12,ROW()-4,NA())</f>
        <v>#N/A</v>
      </c>
      <c r="B474" s="10" t="e">
        <f t="shared" ca="1" si="14"/>
        <v>#N/A</v>
      </c>
      <c r="C474" s="13" t="e">
        <f>IFERROR(Simulador!$B$7*(1+Simulador!$B$12)^INT((A474-1)/12),NA())</f>
        <v>#N/A</v>
      </c>
      <c r="D474" s="13" t="e">
        <f t="shared" si="15"/>
        <v>#N/A</v>
      </c>
      <c r="E474" s="13" t="e">
        <f>IFERROR(E473*(1+Simulador!$G$12)+C474,NA())</f>
        <v>#N/A</v>
      </c>
      <c r="F474" s="13" t="e">
        <f>IFERROR(E474*Simulador!$B$11/12,NA())</f>
        <v>#N/A</v>
      </c>
    </row>
    <row r="475" spans="1:6" ht="18" customHeight="1">
      <c r="A475" s="1" t="e">
        <f>IF(ROW()-4&lt;=Simulador!$B$9*12,ROW()-4,NA())</f>
        <v>#N/A</v>
      </c>
      <c r="B475" s="10" t="e">
        <f t="shared" ca="1" si="14"/>
        <v>#N/A</v>
      </c>
      <c r="C475" s="13" t="e">
        <f>IFERROR(Simulador!$B$7*(1+Simulador!$B$12)^INT((A475-1)/12),NA())</f>
        <v>#N/A</v>
      </c>
      <c r="D475" s="13" t="e">
        <f t="shared" si="15"/>
        <v>#N/A</v>
      </c>
      <c r="E475" s="13" t="e">
        <f>IFERROR(E474*(1+Simulador!$G$12)+C475,NA())</f>
        <v>#N/A</v>
      </c>
      <c r="F475" s="13" t="e">
        <f>IFERROR(E475*Simulador!$B$11/12,NA())</f>
        <v>#N/A</v>
      </c>
    </row>
    <row r="476" spans="1:6" ht="18" customHeight="1">
      <c r="A476" s="1" t="e">
        <f>IF(ROW()-4&lt;=Simulador!$B$9*12,ROW()-4,NA())</f>
        <v>#N/A</v>
      </c>
      <c r="B476" s="10" t="e">
        <f t="shared" ca="1" si="14"/>
        <v>#N/A</v>
      </c>
      <c r="C476" s="13" t="e">
        <f>IFERROR(Simulador!$B$7*(1+Simulador!$B$12)^INT((A476-1)/12),NA())</f>
        <v>#N/A</v>
      </c>
      <c r="D476" s="13" t="e">
        <f t="shared" si="15"/>
        <v>#N/A</v>
      </c>
      <c r="E476" s="13" t="e">
        <f>IFERROR(E475*(1+Simulador!$G$12)+C476,NA())</f>
        <v>#N/A</v>
      </c>
      <c r="F476" s="13" t="e">
        <f>IFERROR(E476*Simulador!$B$11/12,NA())</f>
        <v>#N/A</v>
      </c>
    </row>
    <row r="477" spans="1:6" ht="18" customHeight="1">
      <c r="A477" s="1" t="e">
        <f>IF(ROW()-4&lt;=Simulador!$B$9*12,ROW()-4,NA())</f>
        <v>#N/A</v>
      </c>
      <c r="B477" s="10" t="e">
        <f t="shared" ca="1" si="14"/>
        <v>#N/A</v>
      </c>
      <c r="C477" s="13" t="e">
        <f>IFERROR(Simulador!$B$7*(1+Simulador!$B$12)^INT((A477-1)/12),NA())</f>
        <v>#N/A</v>
      </c>
      <c r="D477" s="13" t="e">
        <f t="shared" si="15"/>
        <v>#N/A</v>
      </c>
      <c r="E477" s="13" t="e">
        <f>IFERROR(E476*(1+Simulador!$G$12)+C477,NA())</f>
        <v>#N/A</v>
      </c>
      <c r="F477" s="13" t="e">
        <f>IFERROR(E477*Simulador!$B$11/12,NA())</f>
        <v>#N/A</v>
      </c>
    </row>
    <row r="478" spans="1:6" ht="18" customHeight="1">
      <c r="A478" s="1" t="e">
        <f>IF(ROW()-4&lt;=Simulador!$B$9*12,ROW()-4,NA())</f>
        <v>#N/A</v>
      </c>
      <c r="B478" s="10" t="e">
        <f t="shared" ca="1" si="14"/>
        <v>#N/A</v>
      </c>
      <c r="C478" s="13" t="e">
        <f>IFERROR(Simulador!$B$7*(1+Simulador!$B$12)^INT((A478-1)/12),NA())</f>
        <v>#N/A</v>
      </c>
      <c r="D478" s="13" t="e">
        <f t="shared" si="15"/>
        <v>#N/A</v>
      </c>
      <c r="E478" s="13" t="e">
        <f>IFERROR(E477*(1+Simulador!$G$12)+C478,NA())</f>
        <v>#N/A</v>
      </c>
      <c r="F478" s="13" t="e">
        <f>IFERROR(E478*Simulador!$B$11/12,NA())</f>
        <v>#N/A</v>
      </c>
    </row>
    <row r="479" spans="1:6" ht="18" customHeight="1">
      <c r="A479" s="1" t="e">
        <f>IF(ROW()-4&lt;=Simulador!$B$9*12,ROW()-4,NA())</f>
        <v>#N/A</v>
      </c>
      <c r="B479" s="10" t="e">
        <f t="shared" ca="1" si="14"/>
        <v>#N/A</v>
      </c>
      <c r="C479" s="13" t="e">
        <f>IFERROR(Simulador!$B$7*(1+Simulador!$B$12)^INT((A479-1)/12),NA())</f>
        <v>#N/A</v>
      </c>
      <c r="D479" s="13" t="e">
        <f t="shared" si="15"/>
        <v>#N/A</v>
      </c>
      <c r="E479" s="13" t="e">
        <f>IFERROR(E478*(1+Simulador!$G$12)+C479,NA())</f>
        <v>#N/A</v>
      </c>
      <c r="F479" s="13" t="e">
        <f>IFERROR(E479*Simulador!$B$11/12,NA())</f>
        <v>#N/A</v>
      </c>
    </row>
    <row r="480" spans="1:6" ht="18" customHeight="1">
      <c r="A480" s="1" t="e">
        <f>IF(ROW()-4&lt;=Simulador!$B$9*12,ROW()-4,NA())</f>
        <v>#N/A</v>
      </c>
      <c r="B480" s="10" t="e">
        <f t="shared" ca="1" si="14"/>
        <v>#N/A</v>
      </c>
      <c r="C480" s="13" t="e">
        <f>IFERROR(Simulador!$B$7*(1+Simulador!$B$12)^INT((A480-1)/12),NA())</f>
        <v>#N/A</v>
      </c>
      <c r="D480" s="13" t="e">
        <f t="shared" si="15"/>
        <v>#N/A</v>
      </c>
      <c r="E480" s="13" t="e">
        <f>IFERROR(E479*(1+Simulador!$G$12)+C480,NA())</f>
        <v>#N/A</v>
      </c>
      <c r="F480" s="13" t="e">
        <f>IFERROR(E480*Simulador!$B$11/12,NA())</f>
        <v>#N/A</v>
      </c>
    </row>
    <row r="481" spans="1:6" ht="18" customHeight="1">
      <c r="A481" s="1" t="e">
        <f>IF(ROW()-4&lt;=Simulador!$B$9*12,ROW()-4,NA())</f>
        <v>#N/A</v>
      </c>
      <c r="B481" s="10" t="e">
        <f t="shared" ca="1" si="14"/>
        <v>#N/A</v>
      </c>
      <c r="C481" s="13" t="e">
        <f>IFERROR(Simulador!$B$7*(1+Simulador!$B$12)^INT((A481-1)/12),NA())</f>
        <v>#N/A</v>
      </c>
      <c r="D481" s="13" t="e">
        <f t="shared" si="15"/>
        <v>#N/A</v>
      </c>
      <c r="E481" s="13" t="e">
        <f>IFERROR(E480*(1+Simulador!$G$12)+C481,NA())</f>
        <v>#N/A</v>
      </c>
      <c r="F481" s="13" t="e">
        <f>IFERROR(E481*Simulador!$B$11/12,NA())</f>
        <v>#N/A</v>
      </c>
    </row>
    <row r="482" spans="1:6" ht="18" customHeight="1">
      <c r="A482" s="1" t="e">
        <f>IF(ROW()-4&lt;=Simulador!$B$9*12,ROW()-4,NA())</f>
        <v>#N/A</v>
      </c>
      <c r="B482" s="10" t="e">
        <f t="shared" ca="1" si="14"/>
        <v>#N/A</v>
      </c>
      <c r="C482" s="13" t="e">
        <f>IFERROR(Simulador!$B$7*(1+Simulador!$B$12)^INT((A482-1)/12),NA())</f>
        <v>#N/A</v>
      </c>
      <c r="D482" s="13" t="e">
        <f t="shared" si="15"/>
        <v>#N/A</v>
      </c>
      <c r="E482" s="13" t="e">
        <f>IFERROR(E481*(1+Simulador!$G$12)+C482,NA())</f>
        <v>#N/A</v>
      </c>
      <c r="F482" s="13" t="e">
        <f>IFERROR(E482*Simulador!$B$11/12,NA())</f>
        <v>#N/A</v>
      </c>
    </row>
    <row r="483" spans="1:6" ht="18" customHeight="1">
      <c r="A483" s="1" t="e">
        <f>IF(ROW()-4&lt;=Simulador!$B$9*12,ROW()-4,NA())</f>
        <v>#N/A</v>
      </c>
      <c r="B483" s="10" t="e">
        <f t="shared" ca="1" si="14"/>
        <v>#N/A</v>
      </c>
      <c r="C483" s="13" t="e">
        <f>IFERROR(Simulador!$B$7*(1+Simulador!$B$12)^INT((A483-1)/12),NA())</f>
        <v>#N/A</v>
      </c>
      <c r="D483" s="13" t="e">
        <f t="shared" si="15"/>
        <v>#N/A</v>
      </c>
      <c r="E483" s="13" t="e">
        <f>IFERROR(E482*(1+Simulador!$G$12)+C483,NA())</f>
        <v>#N/A</v>
      </c>
      <c r="F483" s="13" t="e">
        <f>IFERROR(E483*Simulador!$B$11/12,NA())</f>
        <v>#N/A</v>
      </c>
    </row>
    <row r="484" spans="1:6" ht="18" customHeight="1">
      <c r="A484" s="1" t="e">
        <f>IF(ROW()-4&lt;=Simulador!$B$9*12,ROW()-4,NA())</f>
        <v>#N/A</v>
      </c>
      <c r="B484" s="10" t="e">
        <f t="shared" ca="1" si="14"/>
        <v>#N/A</v>
      </c>
      <c r="C484" s="13" t="e">
        <f>IFERROR(Simulador!$B$7*(1+Simulador!$B$12)^INT((A484-1)/12),NA())</f>
        <v>#N/A</v>
      </c>
      <c r="D484" s="13" t="e">
        <f t="shared" si="15"/>
        <v>#N/A</v>
      </c>
      <c r="E484" s="13" t="e">
        <f>IFERROR(E483*(1+Simulador!$G$12)+C484,NA())</f>
        <v>#N/A</v>
      </c>
      <c r="F484" s="13" t="e">
        <f>IFERROR(E484*Simulador!$B$11/12,NA())</f>
        <v>#N/A</v>
      </c>
    </row>
  </sheetData>
  <mergeCells count="1">
    <mergeCell ref="A1:F1"/>
  </mergeCells>
  <conditionalFormatting sqref="A4:F484">
    <cfRule type="expression" dxfId="0" priority="1">
      <formula>ISNA($A4)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Jeferson Gomes</dc:creator>
  <cp:keywords/>
  <dc:description/>
  <cp:lastModifiedBy/>
  <cp:revision/>
  <dcterms:created xsi:type="dcterms:W3CDTF">2026-09-28T01:52:01Z</dcterms:created>
  <dcterms:modified xsi:type="dcterms:W3CDTF">2026-09-28T02:35:39Z</dcterms:modified>
  <cp:category/>
  <cp:contentStatus/>
</cp:coreProperties>
</file>